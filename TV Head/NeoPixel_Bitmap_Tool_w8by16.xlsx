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esktop\NeoPixel Bitmaps\"/>
    </mc:Choice>
  </mc:AlternateContent>
  <xr:revisionPtr revIDLastSave="0" documentId="8_{4D28FFE1-6DEE-4C02-8E74-47039318BC9F}" xr6:coauthVersionLast="47" xr6:coauthVersionMax="47" xr10:uidLastSave="{00000000-0000-0000-0000-000000000000}"/>
  <bookViews>
    <workbookView xWindow="8655" yWindow="495" windowWidth="18705" windowHeight="14730" xr2:uid="{3C83A5F4-08DB-4DAD-A20D-288452457A9F}"/>
  </bookViews>
  <sheets>
    <sheet name="RGB tuples" sheetId="1" r:id="rId1"/>
    <sheet name="Mono bitma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8" i="1" l="1"/>
  <c r="AA46" i="1"/>
  <c r="AA42" i="1"/>
  <c r="AA45" i="1"/>
  <c r="AA35" i="1"/>
  <c r="AA44" i="1"/>
  <c r="AA59" i="1"/>
  <c r="AA43" i="1"/>
  <c r="AA49" i="1"/>
  <c r="AA39" i="1"/>
  <c r="AA38" i="1"/>
  <c r="AA47" i="1"/>
  <c r="AA37" i="1"/>
  <c r="AA36" i="1"/>
  <c r="AA2" i="1"/>
  <c r="AA34" i="1"/>
  <c r="AA33" i="1"/>
  <c r="Y2" i="1"/>
  <c r="Y3" i="1"/>
  <c r="Y4" i="1"/>
  <c r="Y5" i="1"/>
  <c r="Y6" i="1"/>
  <c r="Y7" i="1"/>
  <c r="Y8" i="1"/>
  <c r="Y9" i="1"/>
  <c r="Y10" i="1"/>
  <c r="Y11" i="1"/>
  <c r="U3" i="2" l="1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2" i="2"/>
  <c r="V2" i="2" s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2" i="2"/>
  <c r="Z2" i="2" l="1"/>
  <c r="Z3" i="2"/>
  <c r="Z4" i="2"/>
  <c r="AA3" i="2"/>
  <c r="AA4" i="2"/>
  <c r="AA2" i="2"/>
  <c r="C49" i="1"/>
  <c r="C279" i="1"/>
  <c r="E279" i="1" s="1"/>
  <c r="C278" i="1"/>
  <c r="E278" i="1" s="1"/>
  <c r="C277" i="1"/>
  <c r="E277" i="1" s="1"/>
  <c r="C276" i="1"/>
  <c r="E276" i="1" s="1"/>
  <c r="C275" i="1"/>
  <c r="E275" i="1" s="1"/>
  <c r="C274" i="1"/>
  <c r="E274" i="1" s="1"/>
  <c r="C273" i="1"/>
  <c r="E273" i="1" s="1"/>
  <c r="C272" i="1"/>
  <c r="E272" i="1" s="1"/>
  <c r="C271" i="1"/>
  <c r="E271" i="1" s="1"/>
  <c r="C270" i="1"/>
  <c r="E270" i="1" s="1"/>
  <c r="C269" i="1"/>
  <c r="E269" i="1" s="1"/>
  <c r="C268" i="1"/>
  <c r="E268" i="1" s="1"/>
  <c r="C267" i="1"/>
  <c r="E267" i="1" s="1"/>
  <c r="C266" i="1"/>
  <c r="E266" i="1" s="1"/>
  <c r="C265" i="1"/>
  <c r="E265" i="1" s="1"/>
  <c r="C264" i="1"/>
  <c r="E264" i="1" s="1"/>
  <c r="C263" i="1"/>
  <c r="E263" i="1" s="1"/>
  <c r="C262" i="1"/>
  <c r="E262" i="1" s="1"/>
  <c r="C261" i="1"/>
  <c r="E261" i="1" s="1"/>
  <c r="C260" i="1"/>
  <c r="E260" i="1" s="1"/>
  <c r="C259" i="1"/>
  <c r="E259" i="1" s="1"/>
  <c r="C258" i="1"/>
  <c r="C257" i="1"/>
  <c r="E257" i="1" s="1"/>
  <c r="C256" i="1"/>
  <c r="E256" i="1" s="1"/>
  <c r="C255" i="1"/>
  <c r="E255" i="1" s="1"/>
  <c r="C254" i="1"/>
  <c r="C253" i="1"/>
  <c r="E253" i="1" s="1"/>
  <c r="C252" i="1"/>
  <c r="E252" i="1" s="1"/>
  <c r="C251" i="1"/>
  <c r="E251" i="1" s="1"/>
  <c r="C250" i="1"/>
  <c r="C249" i="1"/>
  <c r="E249" i="1" s="1"/>
  <c r="C248" i="1"/>
  <c r="E248" i="1" s="1"/>
  <c r="C247" i="1"/>
  <c r="E247" i="1" s="1"/>
  <c r="C246" i="1"/>
  <c r="C245" i="1"/>
  <c r="E245" i="1" s="1"/>
  <c r="C244" i="1"/>
  <c r="E244" i="1" s="1"/>
  <c r="C243" i="1"/>
  <c r="E243" i="1" s="1"/>
  <c r="C242" i="1"/>
  <c r="C241" i="1"/>
  <c r="E241" i="1" s="1"/>
  <c r="C240" i="1"/>
  <c r="E240" i="1" s="1"/>
  <c r="C239" i="1"/>
  <c r="E239" i="1" s="1"/>
  <c r="C238" i="1"/>
  <c r="C237" i="1"/>
  <c r="E237" i="1" s="1"/>
  <c r="C236" i="1"/>
  <c r="E236" i="1" s="1"/>
  <c r="C235" i="1"/>
  <c r="E235" i="1" s="1"/>
  <c r="C234" i="1"/>
  <c r="C233" i="1"/>
  <c r="E233" i="1" s="1"/>
  <c r="C232" i="1"/>
  <c r="E232" i="1" s="1"/>
  <c r="C231" i="1"/>
  <c r="E231" i="1" s="1"/>
  <c r="C230" i="1"/>
  <c r="C229" i="1"/>
  <c r="E229" i="1" s="1"/>
  <c r="C228" i="1"/>
  <c r="E228" i="1" s="1"/>
  <c r="C227" i="1"/>
  <c r="E227" i="1" s="1"/>
  <c r="C226" i="1"/>
  <c r="C225" i="1"/>
  <c r="E225" i="1" s="1"/>
  <c r="C224" i="1"/>
  <c r="E224" i="1" s="1"/>
  <c r="C223" i="1"/>
  <c r="E223" i="1" s="1"/>
  <c r="C222" i="1"/>
  <c r="C221" i="1"/>
  <c r="E221" i="1" s="1"/>
  <c r="C220" i="1"/>
  <c r="E220" i="1" s="1"/>
  <c r="C219" i="1"/>
  <c r="E219" i="1" s="1"/>
  <c r="C218" i="1"/>
  <c r="C217" i="1"/>
  <c r="C216" i="1"/>
  <c r="C215" i="1"/>
  <c r="E215" i="1" s="1"/>
  <c r="C214" i="1"/>
  <c r="C213" i="1"/>
  <c r="C212" i="1"/>
  <c r="C211" i="1"/>
  <c r="E211" i="1" s="1"/>
  <c r="C210" i="1"/>
  <c r="C209" i="1"/>
  <c r="C208" i="1"/>
  <c r="C207" i="1"/>
  <c r="E207" i="1" s="1"/>
  <c r="C206" i="1"/>
  <c r="C205" i="1"/>
  <c r="C204" i="1"/>
  <c r="C203" i="1"/>
  <c r="E203" i="1" s="1"/>
  <c r="C202" i="1"/>
  <c r="C201" i="1"/>
  <c r="C200" i="1"/>
  <c r="C199" i="1"/>
  <c r="E199" i="1" s="1"/>
  <c r="C198" i="1"/>
  <c r="C197" i="1"/>
  <c r="C196" i="1"/>
  <c r="C195" i="1"/>
  <c r="E195" i="1" s="1"/>
  <c r="C194" i="1"/>
  <c r="C193" i="1"/>
  <c r="C192" i="1"/>
  <c r="C191" i="1"/>
  <c r="E191" i="1" s="1"/>
  <c r="C190" i="1"/>
  <c r="C189" i="1"/>
  <c r="C188" i="1"/>
  <c r="C187" i="1"/>
  <c r="E187" i="1" s="1"/>
  <c r="C186" i="1"/>
  <c r="C185" i="1"/>
  <c r="C184" i="1"/>
  <c r="C183" i="1"/>
  <c r="E183" i="1" s="1"/>
  <c r="C182" i="1"/>
  <c r="C181" i="1"/>
  <c r="C180" i="1"/>
  <c r="C179" i="1"/>
  <c r="E179" i="1" s="1"/>
  <c r="C178" i="1"/>
  <c r="C167" i="1"/>
  <c r="C166" i="1"/>
  <c r="C165" i="1"/>
  <c r="E165" i="1" s="1"/>
  <c r="C164" i="1"/>
  <c r="C163" i="1"/>
  <c r="C162" i="1"/>
  <c r="C151" i="1"/>
  <c r="E151" i="1" s="1"/>
  <c r="C150" i="1"/>
  <c r="C149" i="1"/>
  <c r="C148" i="1"/>
  <c r="C147" i="1"/>
  <c r="E147" i="1" s="1"/>
  <c r="C146" i="1"/>
  <c r="C135" i="1"/>
  <c r="C134" i="1"/>
  <c r="C133" i="1"/>
  <c r="E133" i="1" s="1"/>
  <c r="C132" i="1"/>
  <c r="C131" i="1"/>
  <c r="C130" i="1"/>
  <c r="C119" i="1"/>
  <c r="E119" i="1" s="1"/>
  <c r="C118" i="1"/>
  <c r="C117" i="1"/>
  <c r="C116" i="1"/>
  <c r="C115" i="1"/>
  <c r="E115" i="1" s="1"/>
  <c r="C114" i="1"/>
  <c r="C103" i="1"/>
  <c r="C102" i="1"/>
  <c r="C101" i="1"/>
  <c r="E101" i="1" s="1"/>
  <c r="C100" i="1"/>
  <c r="C99" i="1"/>
  <c r="C98" i="1"/>
  <c r="C87" i="1"/>
  <c r="E87" i="1" s="1"/>
  <c r="C86" i="1"/>
  <c r="C85" i="1"/>
  <c r="C84" i="1"/>
  <c r="C83" i="1"/>
  <c r="E83" i="1" s="1"/>
  <c r="C82" i="1"/>
  <c r="C71" i="1"/>
  <c r="C70" i="1"/>
  <c r="C69" i="1"/>
  <c r="E69" i="1" s="1"/>
  <c r="C68" i="1"/>
  <c r="C67" i="1"/>
  <c r="C66" i="1"/>
  <c r="C55" i="1"/>
  <c r="E55" i="1" s="1"/>
  <c r="C54" i="1"/>
  <c r="C53" i="1"/>
  <c r="C52" i="1"/>
  <c r="C51" i="1"/>
  <c r="E51" i="1" s="1"/>
  <c r="C50" i="1"/>
  <c r="C39" i="1"/>
  <c r="C38" i="1"/>
  <c r="C37" i="1"/>
  <c r="E37" i="1" s="1"/>
  <c r="C36" i="1"/>
  <c r="C35" i="1"/>
  <c r="C34" i="1"/>
  <c r="AA57" i="1" l="1"/>
  <c r="AA17" i="1"/>
  <c r="E34" i="1"/>
  <c r="E49" i="1"/>
  <c r="E258" i="1"/>
  <c r="E254" i="1"/>
  <c r="E250" i="1"/>
  <c r="E246" i="1"/>
  <c r="E242" i="1"/>
  <c r="E238" i="1"/>
  <c r="E234" i="1"/>
  <c r="E230" i="1"/>
  <c r="E226" i="1"/>
  <c r="E222" i="1"/>
  <c r="E218" i="1"/>
  <c r="E214" i="1"/>
  <c r="E210" i="1"/>
  <c r="E206" i="1"/>
  <c r="E202" i="1"/>
  <c r="E198" i="1"/>
  <c r="E194" i="1"/>
  <c r="E190" i="1"/>
  <c r="E186" i="1"/>
  <c r="E182" i="1"/>
  <c r="E178" i="1"/>
  <c r="E164" i="1"/>
  <c r="E150" i="1"/>
  <c r="E146" i="1"/>
  <c r="E132" i="1"/>
  <c r="E118" i="1"/>
  <c r="E114" i="1"/>
  <c r="E100" i="1"/>
  <c r="E86" i="1"/>
  <c r="E82" i="1"/>
  <c r="E68" i="1"/>
  <c r="E54" i="1"/>
  <c r="E50" i="1"/>
  <c r="E36" i="1"/>
  <c r="E217" i="1"/>
  <c r="E213" i="1"/>
  <c r="E209" i="1"/>
  <c r="E205" i="1"/>
  <c r="E201" i="1"/>
  <c r="E197" i="1"/>
  <c r="E193" i="1"/>
  <c r="E189" i="1"/>
  <c r="E185" i="1"/>
  <c r="E181" i="1"/>
  <c r="E167" i="1"/>
  <c r="E163" i="1"/>
  <c r="E149" i="1"/>
  <c r="E135" i="1"/>
  <c r="E131" i="1"/>
  <c r="E117" i="1"/>
  <c r="E103" i="1"/>
  <c r="E99" i="1"/>
  <c r="E85" i="1"/>
  <c r="E71" i="1"/>
  <c r="E67" i="1"/>
  <c r="E53" i="1"/>
  <c r="E39" i="1"/>
  <c r="E35" i="1"/>
  <c r="E216" i="1"/>
  <c r="E212" i="1"/>
  <c r="E208" i="1"/>
  <c r="E204" i="1"/>
  <c r="E200" i="1"/>
  <c r="E196" i="1"/>
  <c r="E192" i="1"/>
  <c r="E188" i="1"/>
  <c r="E184" i="1"/>
  <c r="E180" i="1"/>
  <c r="E166" i="1"/>
  <c r="E162" i="1"/>
  <c r="E148" i="1"/>
  <c r="E134" i="1"/>
  <c r="E130" i="1"/>
  <c r="E116" i="1"/>
  <c r="E102" i="1"/>
  <c r="E98" i="1"/>
  <c r="E84" i="1"/>
  <c r="E70" i="1"/>
  <c r="E66" i="1"/>
  <c r="E52" i="1"/>
  <c r="E38" i="1"/>
  <c r="C177" i="1"/>
  <c r="E177" i="1" s="1"/>
  <c r="C176" i="1"/>
  <c r="E176" i="1" s="1"/>
  <c r="C175" i="1"/>
  <c r="E175" i="1" s="1"/>
  <c r="C174" i="1"/>
  <c r="E174" i="1" s="1"/>
  <c r="C173" i="1"/>
  <c r="E173" i="1" s="1"/>
  <c r="C172" i="1"/>
  <c r="E172" i="1" s="1"/>
  <c r="C171" i="1"/>
  <c r="E171" i="1" s="1"/>
  <c r="C170" i="1"/>
  <c r="E170" i="1" s="1"/>
  <c r="C169" i="1"/>
  <c r="E169" i="1" s="1"/>
  <c r="C168" i="1"/>
  <c r="E168" i="1" s="1"/>
  <c r="C161" i="1"/>
  <c r="E161" i="1" s="1"/>
  <c r="C160" i="1"/>
  <c r="E160" i="1" s="1"/>
  <c r="C159" i="1"/>
  <c r="E159" i="1" s="1"/>
  <c r="C158" i="1"/>
  <c r="E158" i="1" s="1"/>
  <c r="C157" i="1"/>
  <c r="E157" i="1" s="1"/>
  <c r="C156" i="1"/>
  <c r="E156" i="1" s="1"/>
  <c r="C155" i="1"/>
  <c r="E155" i="1" s="1"/>
  <c r="C154" i="1"/>
  <c r="E154" i="1" s="1"/>
  <c r="C153" i="1"/>
  <c r="E153" i="1" s="1"/>
  <c r="C152" i="1"/>
  <c r="E152" i="1" s="1"/>
  <c r="C145" i="1"/>
  <c r="E145" i="1" s="1"/>
  <c r="C144" i="1"/>
  <c r="E144" i="1" s="1"/>
  <c r="C143" i="1"/>
  <c r="E143" i="1" s="1"/>
  <c r="C142" i="1"/>
  <c r="E142" i="1" s="1"/>
  <c r="C141" i="1"/>
  <c r="E141" i="1" s="1"/>
  <c r="C140" i="1"/>
  <c r="E140" i="1" s="1"/>
  <c r="C139" i="1"/>
  <c r="E139" i="1" s="1"/>
  <c r="C138" i="1"/>
  <c r="E138" i="1" s="1"/>
  <c r="C137" i="1"/>
  <c r="E137" i="1" s="1"/>
  <c r="C136" i="1"/>
  <c r="E136" i="1" s="1"/>
  <c r="C129" i="1"/>
  <c r="E129" i="1" s="1"/>
  <c r="C128" i="1"/>
  <c r="E128" i="1" s="1"/>
  <c r="C127" i="1"/>
  <c r="E127" i="1" s="1"/>
  <c r="C126" i="1"/>
  <c r="E126" i="1" s="1"/>
  <c r="C125" i="1"/>
  <c r="E125" i="1" s="1"/>
  <c r="C124" i="1"/>
  <c r="E124" i="1" s="1"/>
  <c r="C123" i="1"/>
  <c r="E123" i="1" s="1"/>
  <c r="C122" i="1"/>
  <c r="E122" i="1" s="1"/>
  <c r="C121" i="1"/>
  <c r="E121" i="1" s="1"/>
  <c r="C120" i="1"/>
  <c r="E120" i="1" s="1"/>
  <c r="C113" i="1"/>
  <c r="E113" i="1" s="1"/>
  <c r="C112" i="1"/>
  <c r="E112" i="1" s="1"/>
  <c r="C111" i="1"/>
  <c r="E111" i="1" s="1"/>
  <c r="C110" i="1"/>
  <c r="E110" i="1" s="1"/>
  <c r="C109" i="1"/>
  <c r="E109" i="1" s="1"/>
  <c r="C108" i="1"/>
  <c r="E108" i="1" s="1"/>
  <c r="C107" i="1"/>
  <c r="E107" i="1" s="1"/>
  <c r="C106" i="1"/>
  <c r="E106" i="1" s="1"/>
  <c r="C105" i="1"/>
  <c r="E105" i="1" s="1"/>
  <c r="C104" i="1"/>
  <c r="E104" i="1" s="1"/>
  <c r="C97" i="1"/>
  <c r="E97" i="1" s="1"/>
  <c r="C96" i="1"/>
  <c r="E96" i="1" s="1"/>
  <c r="C95" i="1"/>
  <c r="E95" i="1" s="1"/>
  <c r="C94" i="1"/>
  <c r="E94" i="1" s="1"/>
  <c r="C93" i="1"/>
  <c r="E93" i="1" s="1"/>
  <c r="C92" i="1"/>
  <c r="E92" i="1" s="1"/>
  <c r="C91" i="1"/>
  <c r="E91" i="1" s="1"/>
  <c r="C90" i="1"/>
  <c r="E90" i="1" s="1"/>
  <c r="C89" i="1"/>
  <c r="E89" i="1" s="1"/>
  <c r="C88" i="1"/>
  <c r="E88" i="1" s="1"/>
  <c r="C81" i="1"/>
  <c r="E81" i="1" s="1"/>
  <c r="C80" i="1"/>
  <c r="E80" i="1" s="1"/>
  <c r="C79" i="1"/>
  <c r="E79" i="1" s="1"/>
  <c r="C78" i="1"/>
  <c r="E78" i="1" s="1"/>
  <c r="C77" i="1"/>
  <c r="E77" i="1" s="1"/>
  <c r="C76" i="1"/>
  <c r="E76" i="1" s="1"/>
  <c r="C75" i="1"/>
  <c r="E75" i="1" s="1"/>
  <c r="C74" i="1"/>
  <c r="E74" i="1" s="1"/>
  <c r="C73" i="1"/>
  <c r="E73" i="1" s="1"/>
  <c r="C72" i="1"/>
  <c r="E72" i="1" s="1"/>
  <c r="C65" i="1"/>
  <c r="E65" i="1" s="1"/>
  <c r="C64" i="1"/>
  <c r="E64" i="1" s="1"/>
  <c r="C63" i="1"/>
  <c r="E63" i="1" s="1"/>
  <c r="C62" i="1"/>
  <c r="E62" i="1" s="1"/>
  <c r="C61" i="1"/>
  <c r="E61" i="1" s="1"/>
  <c r="C60" i="1"/>
  <c r="E60" i="1" s="1"/>
  <c r="C59" i="1"/>
  <c r="E59" i="1" s="1"/>
  <c r="C58" i="1"/>
  <c r="E58" i="1" s="1"/>
  <c r="C57" i="1"/>
  <c r="E57" i="1" s="1"/>
  <c r="C56" i="1"/>
  <c r="E56" i="1" s="1"/>
  <c r="C48" i="1"/>
  <c r="E48" i="1" s="1"/>
  <c r="C47" i="1"/>
  <c r="E47" i="1" s="1"/>
  <c r="C46" i="1"/>
  <c r="E46" i="1" s="1"/>
  <c r="C45" i="1"/>
  <c r="E45" i="1" s="1"/>
  <c r="C44" i="1"/>
  <c r="E44" i="1" s="1"/>
  <c r="C43" i="1"/>
  <c r="E43" i="1" s="1"/>
  <c r="C42" i="1"/>
  <c r="E42" i="1" s="1"/>
  <c r="C41" i="1"/>
  <c r="E41" i="1" s="1"/>
  <c r="C40" i="1"/>
  <c r="E40" i="1" s="1"/>
  <c r="C33" i="1"/>
  <c r="E33" i="1" s="1"/>
  <c r="C32" i="1"/>
  <c r="E32" i="1" s="1"/>
  <c r="C31" i="1"/>
  <c r="E31" i="1" s="1"/>
  <c r="C30" i="1"/>
  <c r="E30" i="1" s="1"/>
  <c r="C29" i="1"/>
  <c r="E29" i="1" s="1"/>
  <c r="C28" i="1"/>
  <c r="E28" i="1" s="1"/>
  <c r="C27" i="1"/>
  <c r="E27" i="1" s="1"/>
  <c r="C26" i="1"/>
  <c r="E26" i="1" s="1"/>
  <c r="C25" i="1"/>
  <c r="E25" i="1" s="1"/>
  <c r="C24" i="1"/>
  <c r="E24" i="1" s="1"/>
  <c r="AA56" i="1" l="1"/>
  <c r="AA16" i="1"/>
  <c r="AA55" i="1"/>
  <c r="AA15" i="1"/>
  <c r="AA54" i="1"/>
  <c r="AA14" i="1"/>
  <c r="AA53" i="1"/>
  <c r="AA13" i="1"/>
  <c r="AA52" i="1"/>
  <c r="AA12" i="1"/>
  <c r="AA51" i="1"/>
  <c r="AA11" i="1"/>
  <c r="AA50" i="1"/>
  <c r="AA10" i="1"/>
  <c r="AA32" i="1"/>
  <c r="AA5" i="1"/>
  <c r="AA6" i="1"/>
  <c r="AA7" i="1"/>
  <c r="AA8" i="1"/>
  <c r="AA4" i="1"/>
  <c r="AA9" i="1"/>
  <c r="AA3" i="1"/>
  <c r="AA24" i="1"/>
  <c r="AA26" i="1"/>
  <c r="AA28" i="1"/>
  <c r="AA22" i="1"/>
  <c r="AA23" i="1"/>
  <c r="AA25" i="1"/>
  <c r="AA27" i="1"/>
  <c r="AA29" i="1"/>
  <c r="AA20" i="1"/>
  <c r="AA21" i="1"/>
</calcChain>
</file>

<file path=xl/sharedStrings.xml><?xml version="1.0" encoding="utf-8"?>
<sst xmlns="http://schemas.openxmlformats.org/spreadsheetml/2006/main" count="259" uniqueCount="33">
  <si>
    <t>A</t>
  </si>
  <si>
    <t>B</t>
  </si>
  <si>
    <t>C</t>
  </si>
  <si>
    <t>D</t>
  </si>
  <si>
    <t>E</t>
  </si>
  <si>
    <t>F</t>
  </si>
  <si>
    <t>Idx</t>
  </si>
  <si>
    <t>Color</t>
  </si>
  <si>
    <t>R</t>
  </si>
  <si>
    <t>G</t>
  </si>
  <si>
    <t>RGB</t>
  </si>
  <si>
    <t>Data Table 16x16</t>
  </si>
  <si>
    <t>Y</t>
  </si>
  <si>
    <t>00</t>
  </si>
  <si>
    <t>↓</t>
  </si>
  <si>
    <t>ff</t>
  </si>
  <si>
    <t xml:space="preserve"> </t>
  </si>
  <si>
    <t>X</t>
  </si>
  <si>
    <t>→</t>
  </si>
  <si>
    <t>Data Table 10x10</t>
  </si>
  <si>
    <t>In the matrix, put the number for the required color in each square.</t>
  </si>
  <si>
    <t>Working Data</t>
  </si>
  <si>
    <t>V</t>
  </si>
  <si>
    <t>Data Table 8x8</t>
  </si>
  <si>
    <t>Data Table 8x16 (Serpentine, Right to Left to Right)</t>
  </si>
  <si>
    <t>Row Value</t>
  </si>
  <si>
    <t>Data</t>
  </si>
  <si>
    <t>16 row</t>
  </si>
  <si>
    <t>uint16_t</t>
  </si>
  <si>
    <t>10 row</t>
  </si>
  <si>
    <t>8 row</t>
  </si>
  <si>
    <t>uint8_t</t>
  </si>
  <si>
    <t>In the matrix, place a '1' in where a LED should be turned on. 0 or leave blank for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</si>
</sst>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6BB00"/>
        <bgColor indexed="64"/>
      </patternFill>
    </fill>
    <fill>
      <patternFill patternType="solid">
        <fgColor rgb="FF007434"/>
        <bgColor indexed="64"/>
      </patternFill>
    </fill>
    <fill>
      <patternFill patternType="solid">
        <fgColor rgb="FF31579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7" borderId="0" xfId="0" applyFill="1"/>
    <xf numFmtId="0" fontId="0" fillId="2" borderId="0" xfId="0" applyFill="1" applyAlignment="1">
      <alignment horizontal="right" vertical="center"/>
    </xf>
    <xf numFmtId="0" fontId="0" fillId="8" borderId="0" xfId="0" applyFill="1" applyAlignment="1">
      <alignment horizontal="center"/>
    </xf>
    <xf numFmtId="0" fontId="0" fillId="9" borderId="0" xfId="0" applyFill="1"/>
    <xf numFmtId="0" fontId="3" fillId="9" borderId="0" xfId="0" applyFont="1" applyFill="1"/>
    <xf numFmtId="0" fontId="0" fillId="8" borderId="0" xfId="0" applyFill="1" applyAlignment="1">
      <alignment horizontal="left"/>
    </xf>
    <xf numFmtId="0" fontId="0" fillId="10" borderId="0" xfId="0" applyFill="1" applyAlignment="1">
      <alignment horizontal="right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1" fontId="0" fillId="0" borderId="0" xfId="0" quotePrefix="1" applyNumberFormat="1"/>
    <xf numFmtId="0" fontId="0" fillId="0" borderId="0" xfId="0" quotePrefix="1"/>
    <xf numFmtId="0" fontId="4" fillId="0" borderId="0" xfId="0" applyFont="1"/>
  </cellXfs>
  <cellStyles count="1">
    <cellStyle name="Normal" xfId="0" builtinId="0"/>
  </cellStyles>
  <dxfs count="4">
    <dxf>
      <font>
        <color theme="3"/>
      </font>
      <fill>
        <patternFill>
          <bgColor theme="3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1579B"/>
      <color rgb="FF007434"/>
      <color rgb="FFF6BB0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C39BA-3DA8-4010-A830-FBE558654B76}" name="RGB_Table" displayName="RGB_Table" ref="T1:Y11" totalsRowShown="0" headerRowDxfId="3">
  <tableColumns count="6">
    <tableColumn id="1" xr3:uid="{0126E71C-7406-40E9-905B-4954151EB3EB}" name="Idx" dataDxfId="2"/>
    <tableColumn id="2" xr3:uid="{21B4038E-1EDE-4933-AC5D-9A608DBE80DB}" name="Color"/>
    <tableColumn id="3" xr3:uid="{A23DF85B-0F0A-4217-B24F-138D2EF7201B}" name="R"/>
    <tableColumn id="4" xr3:uid="{8643E0E7-4335-4212-B2BC-52BA0C7A41E9}" name="G"/>
    <tableColumn id="5" xr3:uid="{3A2720B0-D75B-4927-A6BA-E3ED8D92B51F}" name="B"/>
    <tableColumn id="7" xr3:uid="{BC71381F-C8D3-42C1-B02A-B424FD814BA4}" name="RGB" dataDxfId="1">
      <calculatedColumnFormula>"0x"&amp;V2&amp;""&amp;W2&amp;""&amp;X2&amp;","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66EA-7C0B-4147-B411-E0A4F71FF21E}">
  <dimension ref="A1:AA279"/>
  <sheetViews>
    <sheetView tabSelected="1" topLeftCell="A34" workbookViewId="0">
      <selection activeCell="AA42" sqref="AA42"/>
    </sheetView>
  </sheetViews>
  <sheetFormatPr defaultRowHeight="15"/>
  <cols>
    <col min="1" max="11" width="3.140625" customWidth="1"/>
    <col min="12" max="12" width="3.28515625" style="1" customWidth="1"/>
    <col min="13" max="18" width="3.28515625" customWidth="1"/>
    <col min="19" max="19" width="2" customWidth="1"/>
    <col min="20" max="20" width="3.85546875" customWidth="1"/>
    <col min="21" max="21" width="5.28515625" customWidth="1"/>
    <col min="22" max="22" width="4.42578125" bestFit="1" customWidth="1"/>
    <col min="23" max="24" width="4" bestFit="1" customWidth="1"/>
    <col min="25" max="25" width="18.140625" style="17" customWidth="1"/>
    <col min="26" max="26" width="4.5703125" customWidth="1"/>
    <col min="30" max="30" width="66.28515625" customWidth="1"/>
  </cols>
  <sheetData>
    <row r="1" spans="1:27" ht="15.75" thickBot="1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6"/>
      <c r="T1" s="17" t="s">
        <v>6</v>
      </c>
      <c r="U1" t="s">
        <v>7</v>
      </c>
      <c r="V1" s="20" t="s">
        <v>8</v>
      </c>
      <c r="W1" s="20" t="s">
        <v>9</v>
      </c>
      <c r="X1" s="20" t="s">
        <v>1</v>
      </c>
      <c r="Y1" s="17" t="s">
        <v>10</v>
      </c>
      <c r="AA1" s="23" t="s">
        <v>11</v>
      </c>
    </row>
    <row r="2" spans="1:27">
      <c r="A2" s="5">
        <v>0</v>
      </c>
      <c r="B2" s="8">
        <v>0</v>
      </c>
      <c r="C2" s="9">
        <v>0</v>
      </c>
      <c r="D2" s="9">
        <v>1</v>
      </c>
      <c r="E2" s="9">
        <v>1</v>
      </c>
      <c r="F2" s="9">
        <v>1</v>
      </c>
      <c r="G2" s="9">
        <v>0</v>
      </c>
      <c r="H2" s="9">
        <v>0</v>
      </c>
      <c r="I2" s="10">
        <v>0</v>
      </c>
      <c r="J2" s="26"/>
      <c r="K2" s="10"/>
      <c r="L2" s="26"/>
      <c r="M2" s="9"/>
      <c r="N2" s="9"/>
      <c r="O2" s="9"/>
      <c r="P2" s="9"/>
      <c r="Q2" s="10"/>
      <c r="R2" s="6" t="s">
        <v>12</v>
      </c>
      <c r="T2" s="1">
        <v>0</v>
      </c>
      <c r="U2" s="18"/>
      <c r="V2" s="37" t="s">
        <v>13</v>
      </c>
      <c r="W2" s="38" t="s">
        <v>13</v>
      </c>
      <c r="X2" s="38" t="s">
        <v>13</v>
      </c>
      <c r="Y2" s="17" t="str">
        <f t="shared" ref="Y2:Y11" si="0">"0x"&amp;V2&amp;""&amp;W2&amp;""&amp;X2&amp;","</f>
        <v>0x000000,</v>
      </c>
      <c r="Z2" s="20">
        <v>0</v>
      </c>
      <c r="AA2" t="str">
        <f>_xlfn.CONCAT(E24:E39)</f>
        <v>0x000000,0x000000,0xffffff,0xffffff,0xffffff,0x000000,0x000000,0x000000,0x000000,0x000000,0x000000,0x000000,0x000000,0x000000,0x000000,0x000000,</v>
      </c>
    </row>
    <row r="3" spans="1:27">
      <c r="A3" s="5">
        <v>1</v>
      </c>
      <c r="B3" s="11">
        <v>0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0</v>
      </c>
      <c r="I3" s="12">
        <v>0</v>
      </c>
      <c r="J3" s="21"/>
      <c r="K3" s="12"/>
      <c r="L3" s="21"/>
      <c r="M3" s="4"/>
      <c r="N3" s="4"/>
      <c r="O3" s="4"/>
      <c r="P3" s="4"/>
      <c r="Q3" s="12"/>
      <c r="R3" s="7" t="s">
        <v>14</v>
      </c>
      <c r="T3" s="1">
        <v>1</v>
      </c>
      <c r="V3" t="s">
        <v>15</v>
      </c>
      <c r="W3" t="s">
        <v>15</v>
      </c>
      <c r="X3" t="s">
        <v>15</v>
      </c>
      <c r="Y3" s="17" t="str">
        <f t="shared" si="0"/>
        <v>0xffffff,</v>
      </c>
      <c r="Z3" s="20">
        <v>1</v>
      </c>
      <c r="AA3" t="str">
        <f>_xlfn.CONCAT(E40:E55)</f>
        <v>0x000000,0xffffff,0xffffff,0xffffff,0xffffff,0xffffff,0x000000,0x000000,0x000000,0x000000,0x000000,0x000000,0x000000,0x000000,0x000000,0x000000,</v>
      </c>
    </row>
    <row r="4" spans="1:27">
      <c r="A4" s="5">
        <v>2</v>
      </c>
      <c r="B4" s="11">
        <v>0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12">
        <v>0</v>
      </c>
      <c r="J4" s="21"/>
      <c r="K4" s="12"/>
      <c r="L4" s="21"/>
      <c r="M4" s="4"/>
      <c r="N4" s="4"/>
      <c r="O4" s="4"/>
      <c r="P4" s="4"/>
      <c r="Q4" s="12"/>
      <c r="R4" s="6"/>
      <c r="T4" s="1">
        <v>2</v>
      </c>
      <c r="U4" s="19" t="s">
        <v>16</v>
      </c>
      <c r="V4" t="s">
        <v>15</v>
      </c>
      <c r="W4" s="38" t="s">
        <v>13</v>
      </c>
      <c r="X4" s="38" t="s">
        <v>13</v>
      </c>
      <c r="Y4" s="17" t="str">
        <f t="shared" si="0"/>
        <v>0xff0000,</v>
      </c>
      <c r="Z4" s="20">
        <v>2</v>
      </c>
      <c r="AA4" t="str">
        <f>_xlfn.CONCAT(E56:E71)</f>
        <v>0x000000,0xffffff,0xffffff,0xffffff,0xffffff,0xffffff,0xffffff,0x000000,0x000000,0x000000,0x000000,0x000000,0x000000,0x000000,0x000000,0x000000,</v>
      </c>
    </row>
    <row r="5" spans="1:27">
      <c r="A5" s="5">
        <v>3</v>
      </c>
      <c r="B5" s="11">
        <v>0</v>
      </c>
      <c r="C5" s="4">
        <v>0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12">
        <v>1</v>
      </c>
      <c r="J5" s="21"/>
      <c r="K5" s="12"/>
      <c r="L5" s="21"/>
      <c r="M5" s="4"/>
      <c r="N5" s="4"/>
      <c r="O5" s="4"/>
      <c r="P5" s="4"/>
      <c r="Q5" s="12"/>
      <c r="R5" s="6"/>
      <c r="T5" s="1">
        <v>3</v>
      </c>
      <c r="U5" s="24"/>
      <c r="V5">
        <v>246</v>
      </c>
      <c r="W5">
        <v>187</v>
      </c>
      <c r="X5">
        <v>0</v>
      </c>
      <c r="Y5" s="17" t="str">
        <f t="shared" si="0"/>
        <v>0x2461870,</v>
      </c>
      <c r="Z5" s="20">
        <v>3</v>
      </c>
      <c r="AA5" t="str">
        <f>_xlfn.CONCAT(E72:E87)</f>
        <v>0x000000,0x000000,0xffffff,0xffffff,0xffffff,0xffffff,0xffffff,0xffffff,0x000000,0x000000,0x000000,0x000000,0x000000,0x000000,0x000000,0x000000,</v>
      </c>
    </row>
    <row r="6" spans="1:27">
      <c r="A6" s="5">
        <v>4</v>
      </c>
      <c r="B6" s="11">
        <v>0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12">
        <v>0</v>
      </c>
      <c r="J6" s="21"/>
      <c r="K6" s="12"/>
      <c r="L6" s="21"/>
      <c r="M6" s="4"/>
      <c r="N6" s="4"/>
      <c r="O6" s="4"/>
      <c r="P6" s="4"/>
      <c r="Q6" s="12"/>
      <c r="R6" s="6"/>
      <c r="T6" s="1">
        <v>4</v>
      </c>
      <c r="U6" s="25"/>
      <c r="V6">
        <v>0</v>
      </c>
      <c r="W6">
        <v>116</v>
      </c>
      <c r="X6">
        <v>52</v>
      </c>
      <c r="Y6" s="17" t="str">
        <f t="shared" si="0"/>
        <v>0x011652,</v>
      </c>
      <c r="Z6" s="20">
        <v>4</v>
      </c>
      <c r="AA6" t="str">
        <f>_xlfn.CONCAT(E88:E103)</f>
        <v>0x000000,0xffffff,0xffffff,0xffffff,0xffffff,0xffffff,0xffffff,0x000000,0x000000,0x000000,0x000000,0x000000,0x000000,0x000000,0x000000,0x000000,</v>
      </c>
    </row>
    <row r="7" spans="1:27">
      <c r="A7" s="5">
        <v>5</v>
      </c>
      <c r="B7" s="11">
        <v>0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0</v>
      </c>
      <c r="I7" s="12">
        <v>0</v>
      </c>
      <c r="J7" s="21"/>
      <c r="K7" s="12"/>
      <c r="L7" s="21"/>
      <c r="M7" s="4"/>
      <c r="N7" s="4"/>
      <c r="O7" s="4"/>
      <c r="P7" s="4"/>
      <c r="Q7" s="12"/>
      <c r="R7" s="6"/>
      <c r="T7" s="1">
        <v>5</v>
      </c>
      <c r="U7" s="28"/>
      <c r="V7">
        <v>49</v>
      </c>
      <c r="W7">
        <v>87</v>
      </c>
      <c r="X7">
        <v>155</v>
      </c>
      <c r="Y7" s="17" t="str">
        <f t="shared" si="0"/>
        <v>0x4987155,</v>
      </c>
      <c r="Z7" s="20">
        <v>5</v>
      </c>
      <c r="AA7" t="str">
        <f>_xlfn.CONCAT(E104:E119)</f>
        <v>0x000000,0xffffff,0xffffff,0xffffff,0xffffff,0xffffff,0x000000,0x000000,0x000000,0x000000,0x000000,0x000000,0x000000,0x000000,0x000000,0x000000,</v>
      </c>
    </row>
    <row r="8" spans="1:27">
      <c r="A8" s="5">
        <v>6</v>
      </c>
      <c r="B8" s="11">
        <v>0</v>
      </c>
      <c r="C8" s="4">
        <v>0</v>
      </c>
      <c r="D8" s="4">
        <v>1</v>
      </c>
      <c r="E8" s="4">
        <v>1</v>
      </c>
      <c r="F8" s="4">
        <v>1</v>
      </c>
      <c r="G8" s="4">
        <v>0</v>
      </c>
      <c r="H8" s="4">
        <v>0</v>
      </c>
      <c r="I8" s="12">
        <v>0</v>
      </c>
      <c r="J8" s="21"/>
      <c r="K8" s="12"/>
      <c r="L8" s="21"/>
      <c r="M8" s="4"/>
      <c r="N8" s="4"/>
      <c r="O8" s="4"/>
      <c r="P8" s="4"/>
      <c r="Q8" s="12"/>
      <c r="R8" s="6"/>
      <c r="T8" s="1">
        <v>6</v>
      </c>
      <c r="Y8" s="17" t="str">
        <f t="shared" si="0"/>
        <v>0x,</v>
      </c>
      <c r="Z8" s="20">
        <v>6</v>
      </c>
      <c r="AA8" t="str">
        <f>_xlfn.CONCAT(E120:E135)</f>
        <v>0x000000,0x000000,0xffffff,0xffffff,0xffffff,0x000000,0x000000,0x000000,0x000000,0x000000,0x000000,0x000000,0x000000,0x000000,0x000000,0x000000,</v>
      </c>
    </row>
    <row r="9" spans="1:27" ht="15.75" thickBot="1">
      <c r="A9" s="5">
        <v>7</v>
      </c>
      <c r="B9" s="13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5">
        <v>0</v>
      </c>
      <c r="J9" s="21"/>
      <c r="K9" s="12"/>
      <c r="L9" s="21"/>
      <c r="M9" s="4"/>
      <c r="N9" s="4"/>
      <c r="O9" s="4"/>
      <c r="P9" s="4"/>
      <c r="Q9" s="12"/>
      <c r="R9" s="6"/>
      <c r="T9" s="1">
        <v>7</v>
      </c>
      <c r="Y9" s="17" t="str">
        <f t="shared" si="0"/>
        <v>0x,</v>
      </c>
      <c r="Z9" s="20">
        <v>7</v>
      </c>
      <c r="AA9" t="str">
        <f>_xlfn.CONCAT(E136:E151)</f>
        <v>0x000000,0x000000,0x000000,0x000000,0x000000,0x000000,0x000000,0x000000,0x000000,0x000000,0x000000,0x000000,0x000000,0x000000,0x000000,0x000000,</v>
      </c>
    </row>
    <row r="10" spans="1:27">
      <c r="A10" s="5">
        <v>8</v>
      </c>
      <c r="B10" s="27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4"/>
      <c r="K10" s="12"/>
      <c r="L10" s="21"/>
      <c r="M10" s="4"/>
      <c r="N10" s="4"/>
      <c r="O10" s="4"/>
      <c r="P10" s="4"/>
      <c r="Q10" s="12"/>
      <c r="R10" s="6"/>
      <c r="T10" s="1">
        <v>8</v>
      </c>
      <c r="Y10" s="17" t="str">
        <f t="shared" si="0"/>
        <v>0x,</v>
      </c>
      <c r="Z10" s="20">
        <v>8</v>
      </c>
      <c r="AA10" t="str">
        <f>_xlfn.CONCAT(E152:E167)</f>
        <v>0x000000,0x000000,0x000000,0x000000,0x000000,0x000000,0x000000,0x000000,0x000000,0x000000,0x000000,0x000000,0x000000,0x000000,0x000000,0x000000,</v>
      </c>
    </row>
    <row r="11" spans="1:27" ht="15.75" thickBot="1">
      <c r="A11" s="5">
        <v>9</v>
      </c>
      <c r="B11" s="13">
        <v>0</v>
      </c>
      <c r="C11" s="14">
        <v>0</v>
      </c>
      <c r="D11" s="14">
        <v>1</v>
      </c>
      <c r="E11" s="14">
        <v>1</v>
      </c>
      <c r="F11" s="14">
        <v>1</v>
      </c>
      <c r="G11" s="14">
        <v>0</v>
      </c>
      <c r="H11" s="14">
        <v>0</v>
      </c>
      <c r="I11" s="14">
        <v>0</v>
      </c>
      <c r="J11" s="14"/>
      <c r="K11" s="15"/>
      <c r="L11" s="21"/>
      <c r="M11" s="4"/>
      <c r="N11" s="4"/>
      <c r="O11" s="4"/>
      <c r="P11" s="4"/>
      <c r="Q11" s="12"/>
      <c r="R11" s="6"/>
      <c r="T11" s="1">
        <v>9</v>
      </c>
      <c r="Y11" s="17" t="str">
        <f t="shared" si="0"/>
        <v>0x,</v>
      </c>
      <c r="Z11" s="20">
        <v>9</v>
      </c>
      <c r="AA11" t="str">
        <f>_xlfn.CONCAT(E168:E183)</f>
        <v>0x000000,0x000000,0xffffff,0xffffff,0xffffff,0x000000,0x000000,0x000000,0x000000,0x000000,0x000000,0x000000,0x000000,0x000000,0x000000,0x000000,</v>
      </c>
    </row>
    <row r="12" spans="1:27">
      <c r="A12" s="3" t="s">
        <v>0</v>
      </c>
      <c r="B12" s="27">
        <v>0</v>
      </c>
      <c r="C12" s="22">
        <v>1</v>
      </c>
      <c r="D12" s="22">
        <v>1</v>
      </c>
      <c r="E12" s="22">
        <v>1</v>
      </c>
      <c r="F12" s="22">
        <v>1</v>
      </c>
      <c r="G12" s="22">
        <v>1</v>
      </c>
      <c r="H12" s="22">
        <v>0</v>
      </c>
      <c r="I12" s="22">
        <v>0</v>
      </c>
      <c r="J12" s="22"/>
      <c r="K12" s="22"/>
      <c r="L12" s="4"/>
      <c r="M12" s="4"/>
      <c r="N12" s="4"/>
      <c r="O12" s="4"/>
      <c r="P12" s="4"/>
      <c r="Q12" s="12"/>
      <c r="R12" s="6"/>
      <c r="Z12" s="20">
        <v>10</v>
      </c>
      <c r="AA12" t="str">
        <f>_xlfn.CONCAT(E184:E199)</f>
        <v>0x000000,0xffffff,0xffffff,0xffffff,0xffffff,0xffffff,0x000000,0x000000,0x000000,0x000000,0x000000,0x000000,0x000000,0x000000,0x000000,0x000000,</v>
      </c>
    </row>
    <row r="13" spans="1:27">
      <c r="A13" s="3" t="s">
        <v>1</v>
      </c>
      <c r="B13" s="11">
        <v>0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0</v>
      </c>
      <c r="J13" s="4"/>
      <c r="K13" s="4"/>
      <c r="L13" s="4"/>
      <c r="M13" s="4"/>
      <c r="N13" s="4"/>
      <c r="O13" s="4"/>
      <c r="P13" s="4"/>
      <c r="Q13" s="12"/>
      <c r="R13" s="6"/>
      <c r="Z13" s="20">
        <v>11</v>
      </c>
      <c r="AA13" t="str">
        <f>_xlfn.CONCAT(E200:E215)</f>
        <v>0x000000,0xffffff,0xffffff,0xffffff,0xffffff,0xffffff,0xffffff,0x000000,0x000000,0x000000,0x000000,0x000000,0x000000,0x000000,0x000000,0x000000,</v>
      </c>
    </row>
    <row r="14" spans="1:27">
      <c r="A14" s="3" t="s">
        <v>2</v>
      </c>
      <c r="B14" s="11">
        <v>0</v>
      </c>
      <c r="C14" s="4">
        <v>0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/>
      <c r="K14" s="4"/>
      <c r="L14" s="4"/>
      <c r="M14" s="4"/>
      <c r="N14" s="4"/>
      <c r="O14" s="4"/>
      <c r="P14" s="4"/>
      <c r="Q14" s="12"/>
      <c r="R14" s="6"/>
      <c r="Z14" s="20">
        <v>12</v>
      </c>
      <c r="AA14" t="str">
        <f>_xlfn.CONCAT(E216:E231)</f>
        <v>0x000000,0x000000,0xffffff,0xffffff,0xffffff,0xffffff,0xffffff,0xffffff,0x000000,0x000000,0x000000,0x000000,0x000000,0x000000,0x000000,0x000000,</v>
      </c>
    </row>
    <row r="15" spans="1:27">
      <c r="A15" s="3" t="s">
        <v>3</v>
      </c>
      <c r="B15" s="11">
        <v>0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0</v>
      </c>
      <c r="J15" s="4"/>
      <c r="K15" s="4"/>
      <c r="L15" s="4"/>
      <c r="M15" s="4"/>
      <c r="N15" s="4"/>
      <c r="O15" s="4"/>
      <c r="P15" s="4"/>
      <c r="Q15" s="12"/>
      <c r="R15" s="6"/>
      <c r="Z15" s="20">
        <v>13</v>
      </c>
      <c r="AA15" t="str">
        <f>_xlfn.CONCAT(E232:E247)</f>
        <v>0x000000,0xffffff,0xffffff,0xffffff,0xffffff,0xffffff,0xffffff,0x000000,0x000000,0x000000,0x000000,0x000000,0x000000,0x000000,0x000000,0x000000,</v>
      </c>
    </row>
    <row r="16" spans="1:27">
      <c r="A16" s="3" t="s">
        <v>4</v>
      </c>
      <c r="B16" s="11">
        <v>0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12"/>
      <c r="R16" s="6"/>
      <c r="Z16" s="20">
        <v>14</v>
      </c>
      <c r="AA16" t="str">
        <f>_xlfn.CONCAT(E248:E263)</f>
        <v>0x000000,0xffffff,0xffffff,0xffffff,0xffffff,0xffffff,0x000000,0x000000,0x000000,0x000000,0x000000,0x000000,0x000000,0x000000,0x000000,0x000000,</v>
      </c>
    </row>
    <row r="17" spans="1:27" ht="15.75" thickBot="1">
      <c r="A17" s="3" t="s">
        <v>5</v>
      </c>
      <c r="B17" s="13">
        <v>0</v>
      </c>
      <c r="C17" s="14">
        <v>0</v>
      </c>
      <c r="D17" s="14">
        <v>1</v>
      </c>
      <c r="E17" s="14">
        <v>1</v>
      </c>
      <c r="F17" s="14">
        <v>1</v>
      </c>
      <c r="G17" s="14">
        <v>0</v>
      </c>
      <c r="H17" s="14">
        <v>0</v>
      </c>
      <c r="I17" s="14">
        <v>0</v>
      </c>
      <c r="J17" s="14"/>
      <c r="K17" s="14"/>
      <c r="L17" s="14"/>
      <c r="M17" s="14"/>
      <c r="N17" s="14"/>
      <c r="O17" s="14"/>
      <c r="P17" s="14"/>
      <c r="Q17" s="15"/>
      <c r="R17" s="6"/>
      <c r="Z17" s="20">
        <v>15</v>
      </c>
      <c r="AA17" t="str">
        <f>_xlfn.CONCAT(E264:E279)</f>
        <v>0x000000,0x000000,0xffffff,0xffffff,0xffffff,0x000000,0x000000,0x000000,0x000000,0x000000,0x000000,0x000000,0x000000,0x000000,0x000000,0x000000,</v>
      </c>
    </row>
    <row r="18" spans="1:27">
      <c r="A18" s="3"/>
      <c r="B18" s="3" t="s">
        <v>17</v>
      </c>
      <c r="C18" s="3" t="s">
        <v>18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6"/>
    </row>
    <row r="19" spans="1:27">
      <c r="AA19" s="23" t="s">
        <v>19</v>
      </c>
    </row>
    <row r="20" spans="1:27">
      <c r="A20" s="35"/>
      <c r="B20" s="35" t="s">
        <v>20</v>
      </c>
      <c r="C20" s="35"/>
      <c r="D20" s="35"/>
      <c r="E20" s="35"/>
      <c r="F20" s="35"/>
      <c r="G20" s="35"/>
      <c r="H20" s="35"/>
      <c r="I20" s="35"/>
      <c r="J20" s="35"/>
      <c r="K20" s="35"/>
      <c r="L20" s="36"/>
      <c r="M20" s="35"/>
      <c r="N20" s="35"/>
      <c r="O20" s="35"/>
      <c r="P20" s="35"/>
      <c r="Q20" s="35"/>
      <c r="R20" s="35"/>
      <c r="S20" s="35"/>
      <c r="T20" s="35"/>
      <c r="U20" s="35"/>
      <c r="Z20">
        <v>0</v>
      </c>
      <c r="AA20" t="str">
        <f>_xlfn.CONCAT(E24:E33)</f>
        <v>0x000000,0x000000,0xffffff,0xffffff,0xffffff,0x000000,0x000000,0x000000,0x000000,0x000000,</v>
      </c>
    </row>
    <row r="21" spans="1:27">
      <c r="Z21">
        <v>1</v>
      </c>
      <c r="AA21" t="str">
        <f>_xlfn.CONCAT(E40:E49)</f>
        <v>0x000000,0xffffff,0xffffff,0xffffff,0xffffff,0xffffff,0x000000,0x000000,0x000000,0x000000,</v>
      </c>
    </row>
    <row r="22" spans="1:27">
      <c r="A22" s="23" t="s">
        <v>21</v>
      </c>
      <c r="Z22">
        <v>2</v>
      </c>
      <c r="AA22" t="str">
        <f>_xlfn.CONCAT(E56:E65)</f>
        <v>0x000000,0xffffff,0xffffff,0xffffff,0xffffff,0xffffff,0xffffff,0x000000,0x000000,0x000000,</v>
      </c>
    </row>
    <row r="23" spans="1:27">
      <c r="A23" s="1" t="s">
        <v>17</v>
      </c>
      <c r="B23" s="1" t="s">
        <v>12</v>
      </c>
      <c r="C23" s="1" t="s">
        <v>22</v>
      </c>
      <c r="E23" s="17" t="s">
        <v>10</v>
      </c>
      <c r="Z23">
        <v>3</v>
      </c>
      <c r="AA23" t="str">
        <f>_xlfn.CONCAT(E72:E81)</f>
        <v>0x000000,0x000000,0xffffff,0xffffff,0xffffff,0xffffff,0xffffff,0xffffff,0x000000,0x000000,</v>
      </c>
    </row>
    <row r="24" spans="1:27">
      <c r="A24" s="1">
        <v>0</v>
      </c>
      <c r="B24" s="1">
        <v>0</v>
      </c>
      <c r="C24">
        <f>B2</f>
        <v>0</v>
      </c>
      <c r="E24" t="str">
        <f>VLOOKUP(C24, RGB_Table[], 6)</f>
        <v>0x000000,</v>
      </c>
      <c r="Z24">
        <v>4</v>
      </c>
      <c r="AA24" t="str">
        <f>_xlfn.CONCAT(E88:E97)</f>
        <v>0x000000,0xffffff,0xffffff,0xffffff,0xffffff,0xffffff,0xffffff,0x000000,0x000000,0x000000,</v>
      </c>
    </row>
    <row r="25" spans="1:27">
      <c r="A25" s="1">
        <v>1</v>
      </c>
      <c r="B25" s="1">
        <v>0</v>
      </c>
      <c r="C25">
        <f>C2</f>
        <v>0</v>
      </c>
      <c r="E25" t="str">
        <f>VLOOKUP(C25, RGB_Table[], 6)</f>
        <v>0x000000,</v>
      </c>
      <c r="Z25">
        <v>5</v>
      </c>
      <c r="AA25" t="str">
        <f>_xlfn.CONCAT(E104:E113)</f>
        <v>0x000000,0xffffff,0xffffff,0xffffff,0xffffff,0xffffff,0x000000,0x000000,0x000000,0x000000,</v>
      </c>
    </row>
    <row r="26" spans="1:27">
      <c r="A26" s="1">
        <v>2</v>
      </c>
      <c r="B26" s="1">
        <v>0</v>
      </c>
      <c r="C26">
        <f>D2</f>
        <v>1</v>
      </c>
      <c r="E26" t="str">
        <f>VLOOKUP(C26, RGB_Table[], 6)</f>
        <v>0xffffff,</v>
      </c>
      <c r="Z26">
        <v>6</v>
      </c>
      <c r="AA26" t="str">
        <f>_xlfn.CONCAT(E120:E129)</f>
        <v>0x000000,0x000000,0xffffff,0xffffff,0xffffff,0x000000,0x000000,0x000000,0x000000,0x000000,</v>
      </c>
    </row>
    <row r="27" spans="1:27">
      <c r="A27" s="1">
        <v>3</v>
      </c>
      <c r="B27" s="1">
        <v>0</v>
      </c>
      <c r="C27">
        <f>E2</f>
        <v>1</v>
      </c>
      <c r="E27" t="str">
        <f>VLOOKUP(C27, RGB_Table[], 6)</f>
        <v>0xffffff,</v>
      </c>
      <c r="Z27">
        <v>7</v>
      </c>
      <c r="AA27" t="str">
        <f>_xlfn.CONCAT(E136:E145)</f>
        <v>0x000000,0x000000,0x000000,0x000000,0x000000,0x000000,0x000000,0x000000,0x000000,0x000000,</v>
      </c>
    </row>
    <row r="28" spans="1:27">
      <c r="A28" s="1">
        <v>4</v>
      </c>
      <c r="B28" s="1">
        <v>0</v>
      </c>
      <c r="C28">
        <f>F2</f>
        <v>1</v>
      </c>
      <c r="E28" t="str">
        <f>VLOOKUP(C28, RGB_Table[], 6)</f>
        <v>0xffffff,</v>
      </c>
      <c r="Z28">
        <v>8</v>
      </c>
      <c r="AA28" t="str">
        <f>_xlfn.CONCAT(E152:E161)</f>
        <v>0x000000,0x000000,0x000000,0x000000,0x000000,0x000000,0x000000,0x000000,0x000000,0x000000,</v>
      </c>
    </row>
    <row r="29" spans="1:27">
      <c r="A29" s="1">
        <v>5</v>
      </c>
      <c r="B29" s="1">
        <v>0</v>
      </c>
      <c r="C29">
        <f>G2</f>
        <v>0</v>
      </c>
      <c r="E29" t="str">
        <f>VLOOKUP(C29, RGB_Table[], 6)</f>
        <v>0x000000,</v>
      </c>
      <c r="Z29">
        <v>9</v>
      </c>
      <c r="AA29" t="str">
        <f>_xlfn.CONCAT(E168:E177)</f>
        <v>0x000000,0x000000,0xffffff,0xffffff,0xffffff,0x000000,0x000000,0x000000,0x000000,0x000000,</v>
      </c>
    </row>
    <row r="30" spans="1:27">
      <c r="A30" s="1">
        <v>6</v>
      </c>
      <c r="B30" s="1">
        <v>0</v>
      </c>
      <c r="C30">
        <f>H2</f>
        <v>0</v>
      </c>
      <c r="E30" t="str">
        <f>VLOOKUP(C30, RGB_Table[], 6)</f>
        <v>0x000000,</v>
      </c>
    </row>
    <row r="31" spans="1:27">
      <c r="A31" s="1">
        <v>7</v>
      </c>
      <c r="B31" s="1">
        <v>0</v>
      </c>
      <c r="C31">
        <f>I2</f>
        <v>0</v>
      </c>
      <c r="E31" t="str">
        <f>VLOOKUP(C31, RGB_Table[], 6)</f>
        <v>0x000000,</v>
      </c>
      <c r="AA31" s="23" t="s">
        <v>23</v>
      </c>
    </row>
    <row r="32" spans="1:27">
      <c r="A32" s="1">
        <v>8</v>
      </c>
      <c r="B32" s="1">
        <v>0</v>
      </c>
      <c r="C32">
        <f>J2</f>
        <v>0</v>
      </c>
      <c r="E32" t="str">
        <f>VLOOKUP(C32, RGB_Table[], 6)</f>
        <v>0x000000,</v>
      </c>
      <c r="Z32">
        <v>0</v>
      </c>
      <c r="AA32" t="str">
        <f>_xlfn.CONCAT(E24:E31)</f>
        <v>0x000000,0x000000,0xffffff,0xffffff,0xffffff,0x000000,0x000000,0x000000,</v>
      </c>
    </row>
    <row r="33" spans="1:27">
      <c r="A33" s="1">
        <v>9</v>
      </c>
      <c r="B33" s="1">
        <v>0</v>
      </c>
      <c r="C33">
        <f>K2</f>
        <v>0</v>
      </c>
      <c r="E33" t="str">
        <f>VLOOKUP(C33, RGB_Table[], 6)</f>
        <v>0x000000,</v>
      </c>
      <c r="Z33">
        <v>1</v>
      </c>
      <c r="AA33" t="str">
        <f>_xlfn.CONCAT(E40:E47)</f>
        <v>0x000000,0xffffff,0xffffff,0xffffff,0xffffff,0xffffff,0x000000,0x000000,</v>
      </c>
    </row>
    <row r="34" spans="1:27">
      <c r="A34" s="16" t="s">
        <v>0</v>
      </c>
      <c r="B34" s="1">
        <v>0</v>
      </c>
      <c r="C34">
        <f>L2</f>
        <v>0</v>
      </c>
      <c r="E34" t="str">
        <f>VLOOKUP(C34, RGB_Table[], 6)</f>
        <v>0x000000,</v>
      </c>
      <c r="Z34">
        <v>2</v>
      </c>
      <c r="AA34" t="str">
        <f>_xlfn.CONCAT(E56:E63)</f>
        <v>0x000000,0xffffff,0xffffff,0xffffff,0xffffff,0xffffff,0xffffff,0x000000,</v>
      </c>
    </row>
    <row r="35" spans="1:27">
      <c r="A35" s="16" t="s">
        <v>1</v>
      </c>
      <c r="B35" s="1">
        <v>0</v>
      </c>
      <c r="C35">
        <f>M2</f>
        <v>0</v>
      </c>
      <c r="E35" t="str">
        <f>VLOOKUP(C35, RGB_Table[], 6)</f>
        <v>0x000000,</v>
      </c>
      <c r="Z35">
        <v>3</v>
      </c>
      <c r="AA35" t="str">
        <f>_xlfn.CONCAT(E72:E79)</f>
        <v>0x000000,0x000000,0xffffff,0xffffff,0xffffff,0xffffff,0xffffff,0xffffff,</v>
      </c>
    </row>
    <row r="36" spans="1:27">
      <c r="A36" s="16" t="s">
        <v>2</v>
      </c>
      <c r="B36" s="1">
        <v>0</v>
      </c>
      <c r="C36">
        <f>N2</f>
        <v>0</v>
      </c>
      <c r="E36" t="str">
        <f>VLOOKUP(C36, RGB_Table[], 6)</f>
        <v>0x000000,</v>
      </c>
      <c r="Z36">
        <v>4</v>
      </c>
      <c r="AA36" t="str">
        <f>_xlfn.CONCAT(E88:E95)</f>
        <v>0x000000,0xffffff,0xffffff,0xffffff,0xffffff,0xffffff,0xffffff,0x000000,</v>
      </c>
    </row>
    <row r="37" spans="1:27">
      <c r="A37" s="16" t="s">
        <v>3</v>
      </c>
      <c r="B37" s="1">
        <v>0</v>
      </c>
      <c r="C37">
        <f>O2</f>
        <v>0</v>
      </c>
      <c r="E37" t="str">
        <f>VLOOKUP(C37, RGB_Table[], 6)</f>
        <v>0x000000,</v>
      </c>
      <c r="Z37">
        <v>5</v>
      </c>
      <c r="AA37" t="str">
        <f>_xlfn.CONCAT(E104:E111)</f>
        <v>0x000000,0xffffff,0xffffff,0xffffff,0xffffff,0xffffff,0x000000,0x000000,</v>
      </c>
    </row>
    <row r="38" spans="1:27">
      <c r="A38" s="16" t="s">
        <v>4</v>
      </c>
      <c r="B38" s="1">
        <v>0</v>
      </c>
      <c r="C38">
        <f>P2</f>
        <v>0</v>
      </c>
      <c r="E38" t="str">
        <f>VLOOKUP(C38, RGB_Table[], 6)</f>
        <v>0x000000,</v>
      </c>
      <c r="Z38">
        <v>6</v>
      </c>
      <c r="AA38" t="str">
        <f>_xlfn.CONCAT(E120:E127)</f>
        <v>0x000000,0x000000,0xffffff,0xffffff,0xffffff,0x000000,0x000000,0x000000,</v>
      </c>
    </row>
    <row r="39" spans="1:27">
      <c r="A39" s="16" t="s">
        <v>5</v>
      </c>
      <c r="B39" s="1">
        <v>0</v>
      </c>
      <c r="C39">
        <f>Q2</f>
        <v>0</v>
      </c>
      <c r="E39" t="str">
        <f>VLOOKUP(C39, RGB_Table[], 6)</f>
        <v>0x000000,</v>
      </c>
      <c r="Z39">
        <v>7</v>
      </c>
      <c r="AA39" t="str">
        <f>_xlfn.CONCAT(E136:E143)</f>
        <v>0x000000,0x000000,0x000000,0x000000,0x000000,0x000000,0x000000,0x000000,</v>
      </c>
    </row>
    <row r="40" spans="1:27">
      <c r="A40" s="1">
        <v>0</v>
      </c>
      <c r="B40" s="1">
        <v>1</v>
      </c>
      <c r="C40">
        <f>B3</f>
        <v>0</v>
      </c>
      <c r="E40" t="str">
        <f>VLOOKUP(C40, RGB_Table[], 6)</f>
        <v>0x000000,</v>
      </c>
    </row>
    <row r="41" spans="1:27">
      <c r="A41" s="1">
        <v>1</v>
      </c>
      <c r="B41" s="1">
        <v>1</v>
      </c>
      <c r="C41">
        <f>C3</f>
        <v>1</v>
      </c>
      <c r="E41" t="str">
        <f>VLOOKUP(C41, RGB_Table[], 6)</f>
        <v>0xffffff,</v>
      </c>
      <c r="AA41" s="39" t="s">
        <v>24</v>
      </c>
    </row>
    <row r="42" spans="1:27">
      <c r="A42" s="1">
        <v>2</v>
      </c>
      <c r="B42" s="1">
        <v>1</v>
      </c>
      <c r="C42">
        <f>D3</f>
        <v>1</v>
      </c>
      <c r="E42" t="str">
        <f>VLOOKUP(C42, RGB_Table[], 6)</f>
        <v>0xffffff,</v>
      </c>
      <c r="Z42">
        <v>0</v>
      </c>
      <c r="AA42" t="str">
        <f>_xlfn.CONCAT(_xlfn.SORTBY(E24:E31,ROW(E24:E31),-1))</f>
        <v>0x000000,0x000000,0x000000,0xffffff,0xffffff,0xffffff,0x000000,0x000000,</v>
      </c>
    </row>
    <row r="43" spans="1:27">
      <c r="A43" s="1">
        <v>3</v>
      </c>
      <c r="B43" s="1">
        <v>1</v>
      </c>
      <c r="C43">
        <f>E3</f>
        <v>1</v>
      </c>
      <c r="E43" t="str">
        <f>VLOOKUP(C43, RGB_Table[], 6)</f>
        <v>0xffffff,</v>
      </c>
      <c r="Z43">
        <v>1</v>
      </c>
      <c r="AA43" t="str">
        <f>_xlfn.CONCAT(E40:E47)</f>
        <v>0x000000,0xffffff,0xffffff,0xffffff,0xffffff,0xffffff,0x000000,0x000000,</v>
      </c>
    </row>
    <row r="44" spans="1:27">
      <c r="A44" s="1">
        <v>4</v>
      </c>
      <c r="B44" s="1">
        <v>1</v>
      </c>
      <c r="C44">
        <f>F3</f>
        <v>1</v>
      </c>
      <c r="E44" t="str">
        <f>VLOOKUP(C44, RGB_Table[], 6)</f>
        <v>0xffffff,</v>
      </c>
      <c r="Z44">
        <v>2</v>
      </c>
      <c r="AA44" t="str">
        <f>_xlfn.CONCAT(_xlfn.SORTBY(E56:E63,ROW(E56:E63),-1))</f>
        <v>0x000000,0xffffff,0xffffff,0xffffff,0xffffff,0xffffff,0xffffff,0x000000,</v>
      </c>
    </row>
    <row r="45" spans="1:27">
      <c r="A45" s="1">
        <v>5</v>
      </c>
      <c r="B45" s="1">
        <v>1</v>
      </c>
      <c r="C45">
        <f>G3</f>
        <v>1</v>
      </c>
      <c r="E45" t="str">
        <f>VLOOKUP(C45, RGB_Table[], 6)</f>
        <v>0xffffff,</v>
      </c>
      <c r="Z45">
        <v>3</v>
      </c>
      <c r="AA45" t="str">
        <f>_xlfn.CONCAT(E72:E79)</f>
        <v>0x000000,0x000000,0xffffff,0xffffff,0xffffff,0xffffff,0xffffff,0xffffff,</v>
      </c>
    </row>
    <row r="46" spans="1:27">
      <c r="A46" s="1">
        <v>6</v>
      </c>
      <c r="B46" s="1">
        <v>1</v>
      </c>
      <c r="C46">
        <f>H3</f>
        <v>0</v>
      </c>
      <c r="E46" t="str">
        <f>VLOOKUP(C46, RGB_Table[], 6)</f>
        <v>0x000000,</v>
      </c>
      <c r="Z46">
        <v>4</v>
      </c>
      <c r="AA46" t="str">
        <f>_xlfn.CONCAT(_xlfn.SORTBY(E88:E95,ROW(E88:E95),-1))</f>
        <v>0x000000,0xffffff,0xffffff,0xffffff,0xffffff,0xffffff,0xffffff,0x000000,</v>
      </c>
    </row>
    <row r="47" spans="1:27">
      <c r="A47" s="1">
        <v>7</v>
      </c>
      <c r="B47" s="1">
        <v>1</v>
      </c>
      <c r="C47">
        <f>I3</f>
        <v>0</v>
      </c>
      <c r="E47" t="str">
        <f>VLOOKUP(C47, RGB_Table[], 6)</f>
        <v>0x000000,</v>
      </c>
      <c r="Z47">
        <v>5</v>
      </c>
      <c r="AA47" t="str">
        <f>_xlfn.CONCAT(E104:E111)</f>
        <v>0x000000,0xffffff,0xffffff,0xffffff,0xffffff,0xffffff,0x000000,0x000000,</v>
      </c>
    </row>
    <row r="48" spans="1:27">
      <c r="A48" s="1">
        <v>8</v>
      </c>
      <c r="B48" s="1">
        <v>1</v>
      </c>
      <c r="C48">
        <f>J3</f>
        <v>0</v>
      </c>
      <c r="E48" t="str">
        <f>VLOOKUP(C48, RGB_Table[], 6)</f>
        <v>0x000000,</v>
      </c>
      <c r="Z48">
        <v>6</v>
      </c>
      <c r="AA48" t="str">
        <f>_xlfn.CONCAT(_xlfn.SORTBY(E120:E127,ROW(E120:E127),-1))</f>
        <v>0x000000,0x000000,0x000000,0xffffff,0xffffff,0xffffff,0x000000,0x000000,</v>
      </c>
    </row>
    <row r="49" spans="1:27">
      <c r="A49" s="1">
        <v>9</v>
      </c>
      <c r="B49" s="1">
        <v>1</v>
      </c>
      <c r="C49">
        <f>K3</f>
        <v>0</v>
      </c>
      <c r="E49" t="str">
        <f>VLOOKUP(C49, RGB_Table[], 6)</f>
        <v>0x000000,</v>
      </c>
      <c r="Z49">
        <v>7</v>
      </c>
      <c r="AA49" t="str">
        <f>_xlfn.CONCAT(E136:E143)</f>
        <v>0x000000,0x000000,0x000000,0x000000,0x000000,0x000000,0x000000,0x000000,</v>
      </c>
    </row>
    <row r="50" spans="1:27">
      <c r="A50" s="1" t="s">
        <v>0</v>
      </c>
      <c r="B50" s="1">
        <v>1</v>
      </c>
      <c r="C50">
        <f>L3</f>
        <v>0</v>
      </c>
      <c r="E50" t="str">
        <f>VLOOKUP(C50, RGB_Table[], 6)</f>
        <v>0x000000,</v>
      </c>
      <c r="Z50">
        <v>8</v>
      </c>
      <c r="AA50" t="str">
        <f>_xlfn.CONCAT(_xlfn.SORTBY(E152:E159,ROW(E152:E159),-1))</f>
        <v>0x000000,0x000000,0x000000,0x000000,0x000000,0x000000,0x000000,0x000000,</v>
      </c>
    </row>
    <row r="51" spans="1:27">
      <c r="A51" s="1" t="s">
        <v>1</v>
      </c>
      <c r="B51" s="1">
        <v>1</v>
      </c>
      <c r="C51">
        <f>M3</f>
        <v>0</v>
      </c>
      <c r="E51" t="str">
        <f>VLOOKUP(C51, RGB_Table[], 6)</f>
        <v>0x000000,</v>
      </c>
      <c r="Z51">
        <v>9</v>
      </c>
      <c r="AA51" t="str">
        <f>_xlfn.CONCAT(E168:E175)</f>
        <v>0x000000,0x000000,0xffffff,0xffffff,0xffffff,0x000000,0x000000,0x000000,</v>
      </c>
    </row>
    <row r="52" spans="1:27">
      <c r="A52" s="1" t="s">
        <v>2</v>
      </c>
      <c r="B52" s="1">
        <v>1</v>
      </c>
      <c r="C52">
        <f>N3</f>
        <v>0</v>
      </c>
      <c r="E52" t="str">
        <f>VLOOKUP(C52, RGB_Table[], 6)</f>
        <v>0x000000,</v>
      </c>
      <c r="Z52">
        <v>10</v>
      </c>
      <c r="AA52" t="str">
        <f>_xlfn.CONCAT(_xlfn.SORTBY(E184:E191,ROW(E184:E191),-1))</f>
        <v>0x000000,0x000000,0xffffff,0xffffff,0xffffff,0xffffff,0xffffff,0x000000,</v>
      </c>
    </row>
    <row r="53" spans="1:27">
      <c r="A53" s="1" t="s">
        <v>3</v>
      </c>
      <c r="B53" s="1">
        <v>1</v>
      </c>
      <c r="C53">
        <f>O3</f>
        <v>0</v>
      </c>
      <c r="E53" t="str">
        <f>VLOOKUP(C53, RGB_Table[], 6)</f>
        <v>0x000000,</v>
      </c>
      <c r="Z53">
        <v>11</v>
      </c>
      <c r="AA53" t="str">
        <f>_xlfn.CONCAT(E200:E207)</f>
        <v>0x000000,0xffffff,0xffffff,0xffffff,0xffffff,0xffffff,0xffffff,0x000000,</v>
      </c>
    </row>
    <row r="54" spans="1:27">
      <c r="A54" s="1" t="s">
        <v>4</v>
      </c>
      <c r="B54" s="1">
        <v>1</v>
      </c>
      <c r="C54">
        <f>P3</f>
        <v>0</v>
      </c>
      <c r="E54" t="str">
        <f>VLOOKUP(C54, RGB_Table[], 6)</f>
        <v>0x000000,</v>
      </c>
      <c r="Z54">
        <v>12</v>
      </c>
      <c r="AA54" t="str">
        <f>_xlfn.CONCAT(_xlfn.SORTBY(E216:E223,ROW(E216:E223),-1))</f>
        <v>0xffffff,0xffffff,0xffffff,0xffffff,0xffffff,0xffffff,0x000000,0x000000,</v>
      </c>
    </row>
    <row r="55" spans="1:27">
      <c r="A55" s="1" t="s">
        <v>5</v>
      </c>
      <c r="B55" s="1">
        <v>1</v>
      </c>
      <c r="C55">
        <f>Q3</f>
        <v>0</v>
      </c>
      <c r="E55" t="str">
        <f>VLOOKUP(C55, RGB_Table[], 6)</f>
        <v>0x000000,</v>
      </c>
      <c r="Z55">
        <v>13</v>
      </c>
      <c r="AA55" t="str">
        <f>_xlfn.CONCAT(E232:E239)</f>
        <v>0x000000,0xffffff,0xffffff,0xffffff,0xffffff,0xffffff,0xffffff,0x000000,</v>
      </c>
    </row>
    <row r="56" spans="1:27">
      <c r="A56" s="1">
        <v>0</v>
      </c>
      <c r="B56" s="1">
        <v>2</v>
      </c>
      <c r="C56">
        <f>B4</f>
        <v>0</v>
      </c>
      <c r="E56" t="str">
        <f>VLOOKUP(C56, RGB_Table[], 6)</f>
        <v>0x000000,</v>
      </c>
      <c r="Z56">
        <v>14</v>
      </c>
      <c r="AA56" t="str">
        <f>_xlfn.CONCAT(_xlfn.SORTBY(E248:E255,ROW(E248:E255),-1))</f>
        <v>0x000000,0x000000,0xffffff,0xffffff,0xffffff,0xffffff,0xffffff,0x000000,</v>
      </c>
    </row>
    <row r="57" spans="1:27">
      <c r="A57" s="1">
        <v>1</v>
      </c>
      <c r="B57" s="1">
        <v>2</v>
      </c>
      <c r="C57">
        <f>C4</f>
        <v>1</v>
      </c>
      <c r="E57" t="str">
        <f>VLOOKUP(C57, RGB_Table[], 6)</f>
        <v>0xffffff,</v>
      </c>
      <c r="Z57">
        <v>15</v>
      </c>
      <c r="AA57" t="str">
        <f>_xlfn.CONCAT(E264:E271)</f>
        <v>0x000000,0x000000,0xffffff,0xffffff,0xffffff,0x000000,0x000000,0x000000,</v>
      </c>
    </row>
    <row r="58" spans="1:27">
      <c r="A58" s="1">
        <v>2</v>
      </c>
      <c r="B58" s="1">
        <v>2</v>
      </c>
      <c r="C58">
        <f>D4</f>
        <v>1</v>
      </c>
      <c r="E58" t="str">
        <f>VLOOKUP(C58, RGB_Table[], 6)</f>
        <v>0xffffff,</v>
      </c>
    </row>
    <row r="59" spans="1:27">
      <c r="A59" s="1">
        <v>3</v>
      </c>
      <c r="B59" s="1">
        <v>2</v>
      </c>
      <c r="C59">
        <f>E4</f>
        <v>1</v>
      </c>
      <c r="E59" t="str">
        <f>VLOOKUP(C59, RGB_Table[], 6)</f>
        <v>0xffffff,</v>
      </c>
      <c r="AA59" t="str">
        <f>_xlfn.CONCAT(_xlfn.SORTBY(E40:E47,ROW(E40:E47),-1))</f>
        <v>0x000000,0x000000,0xffffff,0xffffff,0xffffff,0xffffff,0xffffff,0x000000,</v>
      </c>
    </row>
    <row r="60" spans="1:27">
      <c r="A60" s="1">
        <v>4</v>
      </c>
      <c r="B60" s="1">
        <v>2</v>
      </c>
      <c r="C60">
        <f>F4</f>
        <v>1</v>
      </c>
      <c r="E60" t="str">
        <f>VLOOKUP(C60, RGB_Table[], 6)</f>
        <v>0xffffff,</v>
      </c>
    </row>
    <row r="61" spans="1:27">
      <c r="A61" s="1">
        <v>5</v>
      </c>
      <c r="B61" s="1">
        <v>2</v>
      </c>
      <c r="C61">
        <f>G4</f>
        <v>1</v>
      </c>
      <c r="E61" t="str">
        <f>VLOOKUP(C61, RGB_Table[], 6)</f>
        <v>0xffffff,</v>
      </c>
    </row>
    <row r="62" spans="1:27">
      <c r="A62" s="1">
        <v>6</v>
      </c>
      <c r="B62" s="1">
        <v>2</v>
      </c>
      <c r="C62">
        <f>H4</f>
        <v>1</v>
      </c>
      <c r="E62" t="str">
        <f>VLOOKUP(C62, RGB_Table[], 6)</f>
        <v>0xffffff,</v>
      </c>
    </row>
    <row r="63" spans="1:27">
      <c r="A63" s="1">
        <v>7</v>
      </c>
      <c r="B63" s="1">
        <v>2</v>
      </c>
      <c r="C63">
        <f>I4</f>
        <v>0</v>
      </c>
      <c r="E63" t="str">
        <f>VLOOKUP(C63, RGB_Table[], 6)</f>
        <v>0x000000,</v>
      </c>
    </row>
    <row r="64" spans="1:27">
      <c r="A64" s="1">
        <v>8</v>
      </c>
      <c r="B64" s="1">
        <v>2</v>
      </c>
      <c r="C64">
        <f>J4</f>
        <v>0</v>
      </c>
      <c r="E64" t="str">
        <f>VLOOKUP(C64, RGB_Table[], 6)</f>
        <v>0x000000,</v>
      </c>
    </row>
    <row r="65" spans="1:5">
      <c r="A65" s="1">
        <v>9</v>
      </c>
      <c r="B65" s="1">
        <v>2</v>
      </c>
      <c r="C65">
        <f>K4</f>
        <v>0</v>
      </c>
      <c r="E65" t="str">
        <f>VLOOKUP(C65, RGB_Table[], 6)</f>
        <v>0x000000,</v>
      </c>
    </row>
    <row r="66" spans="1:5">
      <c r="A66" s="1" t="s">
        <v>0</v>
      </c>
      <c r="B66" s="1">
        <v>2</v>
      </c>
      <c r="C66">
        <f>L4</f>
        <v>0</v>
      </c>
      <c r="E66" t="str">
        <f>VLOOKUP(C66, RGB_Table[], 6)</f>
        <v>0x000000,</v>
      </c>
    </row>
    <row r="67" spans="1:5">
      <c r="A67" s="1" t="s">
        <v>1</v>
      </c>
      <c r="B67" s="1">
        <v>2</v>
      </c>
      <c r="C67">
        <f>M4</f>
        <v>0</v>
      </c>
      <c r="E67" t="str">
        <f>VLOOKUP(C67, RGB_Table[], 6)</f>
        <v>0x000000,</v>
      </c>
    </row>
    <row r="68" spans="1:5">
      <c r="A68" s="1" t="s">
        <v>2</v>
      </c>
      <c r="B68" s="1">
        <v>2</v>
      </c>
      <c r="C68">
        <f>N4</f>
        <v>0</v>
      </c>
      <c r="E68" t="str">
        <f>VLOOKUP(C68, RGB_Table[], 6)</f>
        <v>0x000000,</v>
      </c>
    </row>
    <row r="69" spans="1:5">
      <c r="A69" s="1" t="s">
        <v>3</v>
      </c>
      <c r="B69" s="1">
        <v>2</v>
      </c>
      <c r="C69">
        <f>O4</f>
        <v>0</v>
      </c>
      <c r="E69" t="str">
        <f>VLOOKUP(C69, RGB_Table[], 6)</f>
        <v>0x000000,</v>
      </c>
    </row>
    <row r="70" spans="1:5">
      <c r="A70" s="1" t="s">
        <v>4</v>
      </c>
      <c r="B70" s="1">
        <v>2</v>
      </c>
      <c r="C70">
        <f>P4</f>
        <v>0</v>
      </c>
      <c r="E70" t="str">
        <f>VLOOKUP(C70, RGB_Table[], 6)</f>
        <v>0x000000,</v>
      </c>
    </row>
    <row r="71" spans="1:5">
      <c r="A71" s="1" t="s">
        <v>5</v>
      </c>
      <c r="B71" s="1">
        <v>2</v>
      </c>
      <c r="C71">
        <f>Q4</f>
        <v>0</v>
      </c>
      <c r="E71" t="str">
        <f>VLOOKUP(C71, RGB_Table[], 6)</f>
        <v>0x000000,</v>
      </c>
    </row>
    <row r="72" spans="1:5">
      <c r="A72" s="1">
        <v>0</v>
      </c>
      <c r="B72" s="1">
        <v>3</v>
      </c>
      <c r="C72">
        <f>B5</f>
        <v>0</v>
      </c>
      <c r="E72" t="str">
        <f>VLOOKUP(C72, RGB_Table[], 6)</f>
        <v>0x000000,</v>
      </c>
    </row>
    <row r="73" spans="1:5">
      <c r="A73" s="1">
        <v>1</v>
      </c>
      <c r="B73" s="1">
        <v>3</v>
      </c>
      <c r="C73">
        <f>C5</f>
        <v>0</v>
      </c>
      <c r="E73" t="str">
        <f>VLOOKUP(C73, RGB_Table[], 6)</f>
        <v>0x000000,</v>
      </c>
    </row>
    <row r="74" spans="1:5">
      <c r="A74" s="1">
        <v>2</v>
      </c>
      <c r="B74" s="1">
        <v>3</v>
      </c>
      <c r="C74">
        <f>D5</f>
        <v>1</v>
      </c>
      <c r="E74" t="str">
        <f>VLOOKUP(C74, RGB_Table[], 6)</f>
        <v>0xffffff,</v>
      </c>
    </row>
    <row r="75" spans="1:5">
      <c r="A75" s="1">
        <v>3</v>
      </c>
      <c r="B75" s="1">
        <v>3</v>
      </c>
      <c r="C75">
        <f>E5</f>
        <v>1</v>
      </c>
      <c r="E75" t="str">
        <f>VLOOKUP(C75, RGB_Table[], 6)</f>
        <v>0xffffff,</v>
      </c>
    </row>
    <row r="76" spans="1:5">
      <c r="A76" s="1">
        <v>4</v>
      </c>
      <c r="B76" s="1">
        <v>3</v>
      </c>
      <c r="C76">
        <f>F5</f>
        <v>1</v>
      </c>
      <c r="E76" t="str">
        <f>VLOOKUP(C76, RGB_Table[], 6)</f>
        <v>0xffffff,</v>
      </c>
    </row>
    <row r="77" spans="1:5">
      <c r="A77" s="1">
        <v>5</v>
      </c>
      <c r="B77" s="1">
        <v>3</v>
      </c>
      <c r="C77">
        <f>G5</f>
        <v>1</v>
      </c>
      <c r="E77" t="str">
        <f>VLOOKUP(C77, RGB_Table[], 6)</f>
        <v>0xffffff,</v>
      </c>
    </row>
    <row r="78" spans="1:5">
      <c r="A78" s="1">
        <v>6</v>
      </c>
      <c r="B78" s="1">
        <v>3</v>
      </c>
      <c r="C78">
        <f>H5</f>
        <v>1</v>
      </c>
      <c r="E78" t="str">
        <f>VLOOKUP(C78, RGB_Table[], 6)</f>
        <v>0xffffff,</v>
      </c>
    </row>
    <row r="79" spans="1:5">
      <c r="A79" s="1">
        <v>7</v>
      </c>
      <c r="B79" s="1">
        <v>3</v>
      </c>
      <c r="C79">
        <f>I5</f>
        <v>1</v>
      </c>
      <c r="E79" t="str">
        <f>VLOOKUP(C79, RGB_Table[], 6)</f>
        <v>0xffffff,</v>
      </c>
    </row>
    <row r="80" spans="1:5">
      <c r="A80" s="1">
        <v>8</v>
      </c>
      <c r="B80" s="1">
        <v>3</v>
      </c>
      <c r="C80">
        <f>J5</f>
        <v>0</v>
      </c>
      <c r="E80" t="str">
        <f>VLOOKUP(C80, RGB_Table[], 6)</f>
        <v>0x000000,</v>
      </c>
    </row>
    <row r="81" spans="1:5">
      <c r="A81" s="1">
        <v>9</v>
      </c>
      <c r="B81" s="1">
        <v>3</v>
      </c>
      <c r="C81">
        <f>K5</f>
        <v>0</v>
      </c>
      <c r="E81" t="str">
        <f>VLOOKUP(C81, RGB_Table[], 6)</f>
        <v>0x000000,</v>
      </c>
    </row>
    <row r="82" spans="1:5">
      <c r="A82" s="1" t="s">
        <v>0</v>
      </c>
      <c r="B82" s="1">
        <v>3</v>
      </c>
      <c r="C82">
        <f>L5</f>
        <v>0</v>
      </c>
      <c r="E82" t="str">
        <f>VLOOKUP(C82, RGB_Table[], 6)</f>
        <v>0x000000,</v>
      </c>
    </row>
    <row r="83" spans="1:5">
      <c r="A83" s="1" t="s">
        <v>1</v>
      </c>
      <c r="B83" s="1">
        <v>3</v>
      </c>
      <c r="C83">
        <f>M5</f>
        <v>0</v>
      </c>
      <c r="E83" t="str">
        <f>VLOOKUP(C83, RGB_Table[], 6)</f>
        <v>0x000000,</v>
      </c>
    </row>
    <row r="84" spans="1:5">
      <c r="A84" s="1" t="s">
        <v>2</v>
      </c>
      <c r="B84" s="1">
        <v>3</v>
      </c>
      <c r="C84">
        <f>N5</f>
        <v>0</v>
      </c>
      <c r="E84" t="str">
        <f>VLOOKUP(C84, RGB_Table[], 6)</f>
        <v>0x000000,</v>
      </c>
    </row>
    <row r="85" spans="1:5">
      <c r="A85" s="1" t="s">
        <v>3</v>
      </c>
      <c r="B85" s="1">
        <v>3</v>
      </c>
      <c r="C85">
        <f>O5</f>
        <v>0</v>
      </c>
      <c r="E85" t="str">
        <f>VLOOKUP(C85, RGB_Table[], 6)</f>
        <v>0x000000,</v>
      </c>
    </row>
    <row r="86" spans="1:5">
      <c r="A86" s="1" t="s">
        <v>4</v>
      </c>
      <c r="B86" s="1">
        <v>3</v>
      </c>
      <c r="C86">
        <f>P5</f>
        <v>0</v>
      </c>
      <c r="E86" t="str">
        <f>VLOOKUP(C86, RGB_Table[], 6)</f>
        <v>0x000000,</v>
      </c>
    </row>
    <row r="87" spans="1:5">
      <c r="A87" s="1" t="s">
        <v>5</v>
      </c>
      <c r="B87" s="1">
        <v>3</v>
      </c>
      <c r="C87">
        <f>Q5</f>
        <v>0</v>
      </c>
      <c r="E87" t="str">
        <f>VLOOKUP(C87, RGB_Table[], 6)</f>
        <v>0x000000,</v>
      </c>
    </row>
    <row r="88" spans="1:5">
      <c r="A88" s="1">
        <v>0</v>
      </c>
      <c r="B88" s="1">
        <v>4</v>
      </c>
      <c r="C88">
        <f>B6</f>
        <v>0</v>
      </c>
      <c r="E88" t="str">
        <f>VLOOKUP(C88, RGB_Table[], 6)</f>
        <v>0x000000,</v>
      </c>
    </row>
    <row r="89" spans="1:5">
      <c r="A89" s="1">
        <v>1</v>
      </c>
      <c r="B89" s="1">
        <v>4</v>
      </c>
      <c r="C89">
        <f>C6</f>
        <v>1</v>
      </c>
      <c r="E89" t="str">
        <f>VLOOKUP(C89, RGB_Table[], 6)</f>
        <v>0xffffff,</v>
      </c>
    </row>
    <row r="90" spans="1:5">
      <c r="A90" s="1">
        <v>2</v>
      </c>
      <c r="B90" s="1">
        <v>4</v>
      </c>
      <c r="C90">
        <f>D6</f>
        <v>1</v>
      </c>
      <c r="E90" t="str">
        <f>VLOOKUP(C90, RGB_Table[], 6)</f>
        <v>0xffffff,</v>
      </c>
    </row>
    <row r="91" spans="1:5">
      <c r="A91" s="1">
        <v>3</v>
      </c>
      <c r="B91" s="1">
        <v>4</v>
      </c>
      <c r="C91">
        <f>E6</f>
        <v>1</v>
      </c>
      <c r="E91" t="str">
        <f>VLOOKUP(C91, RGB_Table[], 6)</f>
        <v>0xffffff,</v>
      </c>
    </row>
    <row r="92" spans="1:5">
      <c r="A92" s="1">
        <v>4</v>
      </c>
      <c r="B92" s="1">
        <v>4</v>
      </c>
      <c r="C92">
        <f>F6</f>
        <v>1</v>
      </c>
      <c r="E92" t="str">
        <f>VLOOKUP(C92, RGB_Table[], 6)</f>
        <v>0xffffff,</v>
      </c>
    </row>
    <row r="93" spans="1:5">
      <c r="A93" s="1">
        <v>5</v>
      </c>
      <c r="B93" s="1">
        <v>4</v>
      </c>
      <c r="C93">
        <f>G6</f>
        <v>1</v>
      </c>
      <c r="E93" t="str">
        <f>VLOOKUP(C93, RGB_Table[], 6)</f>
        <v>0xffffff,</v>
      </c>
    </row>
    <row r="94" spans="1:5">
      <c r="A94" s="1">
        <v>6</v>
      </c>
      <c r="B94" s="1">
        <v>4</v>
      </c>
      <c r="C94">
        <f>H6</f>
        <v>1</v>
      </c>
      <c r="E94" t="str">
        <f>VLOOKUP(C94, RGB_Table[], 6)</f>
        <v>0xffffff,</v>
      </c>
    </row>
    <row r="95" spans="1:5">
      <c r="A95" s="1">
        <v>7</v>
      </c>
      <c r="B95" s="1">
        <v>4</v>
      </c>
      <c r="C95">
        <f>I6</f>
        <v>0</v>
      </c>
      <c r="E95" t="str">
        <f>VLOOKUP(C95, RGB_Table[], 6)</f>
        <v>0x000000,</v>
      </c>
    </row>
    <row r="96" spans="1:5">
      <c r="A96" s="1">
        <v>8</v>
      </c>
      <c r="B96" s="1">
        <v>4</v>
      </c>
      <c r="C96">
        <f>J6</f>
        <v>0</v>
      </c>
      <c r="E96" t="str">
        <f>VLOOKUP(C96, RGB_Table[], 6)</f>
        <v>0x000000,</v>
      </c>
    </row>
    <row r="97" spans="1:5">
      <c r="A97" s="1">
        <v>9</v>
      </c>
      <c r="B97" s="1">
        <v>4</v>
      </c>
      <c r="C97">
        <f>K6</f>
        <v>0</v>
      </c>
      <c r="E97" t="str">
        <f>VLOOKUP(C97, RGB_Table[], 6)</f>
        <v>0x000000,</v>
      </c>
    </row>
    <row r="98" spans="1:5">
      <c r="A98" s="1" t="s">
        <v>0</v>
      </c>
      <c r="B98" s="1">
        <v>4</v>
      </c>
      <c r="C98">
        <f>L6</f>
        <v>0</v>
      </c>
      <c r="E98" t="str">
        <f>VLOOKUP(C98, RGB_Table[], 6)</f>
        <v>0x000000,</v>
      </c>
    </row>
    <row r="99" spans="1:5">
      <c r="A99" s="1" t="s">
        <v>1</v>
      </c>
      <c r="B99" s="1">
        <v>4</v>
      </c>
      <c r="C99">
        <f>M6</f>
        <v>0</v>
      </c>
      <c r="E99" t="str">
        <f>VLOOKUP(C99, RGB_Table[], 6)</f>
        <v>0x000000,</v>
      </c>
    </row>
    <row r="100" spans="1:5">
      <c r="A100" s="1" t="s">
        <v>2</v>
      </c>
      <c r="B100" s="1">
        <v>4</v>
      </c>
      <c r="C100">
        <f>N6</f>
        <v>0</v>
      </c>
      <c r="E100" t="str">
        <f>VLOOKUP(C100, RGB_Table[], 6)</f>
        <v>0x000000,</v>
      </c>
    </row>
    <row r="101" spans="1:5">
      <c r="A101" s="1" t="s">
        <v>3</v>
      </c>
      <c r="B101" s="1">
        <v>4</v>
      </c>
      <c r="C101">
        <f>O6</f>
        <v>0</v>
      </c>
      <c r="E101" t="str">
        <f>VLOOKUP(C101, RGB_Table[], 6)</f>
        <v>0x000000,</v>
      </c>
    </row>
    <row r="102" spans="1:5">
      <c r="A102" s="1" t="s">
        <v>4</v>
      </c>
      <c r="B102" s="1">
        <v>4</v>
      </c>
      <c r="C102">
        <f>P6</f>
        <v>0</v>
      </c>
      <c r="E102" t="str">
        <f>VLOOKUP(C102, RGB_Table[], 6)</f>
        <v>0x000000,</v>
      </c>
    </row>
    <row r="103" spans="1:5">
      <c r="A103" s="1" t="s">
        <v>5</v>
      </c>
      <c r="B103" s="1">
        <v>4</v>
      </c>
      <c r="C103">
        <f>Q6</f>
        <v>0</v>
      </c>
      <c r="E103" t="str">
        <f>VLOOKUP(C103, RGB_Table[], 6)</f>
        <v>0x000000,</v>
      </c>
    </row>
    <row r="104" spans="1:5">
      <c r="A104" s="1">
        <v>0</v>
      </c>
      <c r="B104" s="1">
        <v>5</v>
      </c>
      <c r="C104">
        <f>B7</f>
        <v>0</v>
      </c>
      <c r="E104" t="str">
        <f>VLOOKUP(C104, RGB_Table[], 6)</f>
        <v>0x000000,</v>
      </c>
    </row>
    <row r="105" spans="1:5">
      <c r="A105" s="1">
        <v>1</v>
      </c>
      <c r="B105" s="1">
        <v>5</v>
      </c>
      <c r="C105">
        <f>C7</f>
        <v>1</v>
      </c>
      <c r="E105" t="str">
        <f>VLOOKUP(C105, RGB_Table[], 6)</f>
        <v>0xffffff,</v>
      </c>
    </row>
    <row r="106" spans="1:5">
      <c r="A106" s="1">
        <v>2</v>
      </c>
      <c r="B106" s="1">
        <v>5</v>
      </c>
      <c r="C106">
        <f>D7</f>
        <v>1</v>
      </c>
      <c r="E106" t="str">
        <f>VLOOKUP(C106, RGB_Table[], 6)</f>
        <v>0xffffff,</v>
      </c>
    </row>
    <row r="107" spans="1:5">
      <c r="A107" s="1">
        <v>3</v>
      </c>
      <c r="B107" s="1">
        <v>5</v>
      </c>
      <c r="C107">
        <f>E7</f>
        <v>1</v>
      </c>
      <c r="E107" t="str">
        <f>VLOOKUP(C107, RGB_Table[], 6)</f>
        <v>0xffffff,</v>
      </c>
    </row>
    <row r="108" spans="1:5">
      <c r="A108" s="1">
        <v>4</v>
      </c>
      <c r="B108" s="1">
        <v>5</v>
      </c>
      <c r="C108">
        <f>F7</f>
        <v>1</v>
      </c>
      <c r="E108" t="str">
        <f>VLOOKUP(C108, RGB_Table[], 6)</f>
        <v>0xffffff,</v>
      </c>
    </row>
    <row r="109" spans="1:5">
      <c r="A109" s="1">
        <v>5</v>
      </c>
      <c r="B109" s="1">
        <v>5</v>
      </c>
      <c r="C109">
        <f>G7</f>
        <v>1</v>
      </c>
      <c r="E109" t="str">
        <f>VLOOKUP(C109, RGB_Table[], 6)</f>
        <v>0xffffff,</v>
      </c>
    </row>
    <row r="110" spans="1:5">
      <c r="A110" s="1">
        <v>6</v>
      </c>
      <c r="B110" s="1">
        <v>5</v>
      </c>
      <c r="C110">
        <f>H7</f>
        <v>0</v>
      </c>
      <c r="E110" t="str">
        <f>VLOOKUP(C110, RGB_Table[], 6)</f>
        <v>0x000000,</v>
      </c>
    </row>
    <row r="111" spans="1:5">
      <c r="A111" s="1">
        <v>7</v>
      </c>
      <c r="B111" s="1">
        <v>5</v>
      </c>
      <c r="C111">
        <f>I7</f>
        <v>0</v>
      </c>
      <c r="E111" t="str">
        <f>VLOOKUP(C111, RGB_Table[], 6)</f>
        <v>0x000000,</v>
      </c>
    </row>
    <row r="112" spans="1:5">
      <c r="A112" s="1">
        <v>8</v>
      </c>
      <c r="B112" s="1">
        <v>5</v>
      </c>
      <c r="C112">
        <f>J7</f>
        <v>0</v>
      </c>
      <c r="E112" t="str">
        <f>VLOOKUP(C112, RGB_Table[], 6)</f>
        <v>0x000000,</v>
      </c>
    </row>
    <row r="113" spans="1:5">
      <c r="A113" s="1">
        <v>9</v>
      </c>
      <c r="B113" s="1">
        <v>5</v>
      </c>
      <c r="C113">
        <f>K7</f>
        <v>0</v>
      </c>
      <c r="E113" t="str">
        <f>VLOOKUP(C113, RGB_Table[], 6)</f>
        <v>0x000000,</v>
      </c>
    </row>
    <row r="114" spans="1:5">
      <c r="A114" s="1" t="s">
        <v>0</v>
      </c>
      <c r="B114" s="1">
        <v>5</v>
      </c>
      <c r="C114">
        <f>L7</f>
        <v>0</v>
      </c>
      <c r="E114" t="str">
        <f>VLOOKUP(C114, RGB_Table[], 6)</f>
        <v>0x000000,</v>
      </c>
    </row>
    <row r="115" spans="1:5">
      <c r="A115" s="1" t="s">
        <v>1</v>
      </c>
      <c r="B115" s="1">
        <v>5</v>
      </c>
      <c r="C115">
        <f>M7</f>
        <v>0</v>
      </c>
      <c r="E115" t="str">
        <f>VLOOKUP(C115, RGB_Table[], 6)</f>
        <v>0x000000,</v>
      </c>
    </row>
    <row r="116" spans="1:5">
      <c r="A116" s="1" t="s">
        <v>2</v>
      </c>
      <c r="B116" s="1">
        <v>5</v>
      </c>
      <c r="C116">
        <f>N7</f>
        <v>0</v>
      </c>
      <c r="E116" t="str">
        <f>VLOOKUP(C116, RGB_Table[], 6)</f>
        <v>0x000000,</v>
      </c>
    </row>
    <row r="117" spans="1:5">
      <c r="A117" s="1" t="s">
        <v>3</v>
      </c>
      <c r="B117" s="1">
        <v>5</v>
      </c>
      <c r="C117">
        <f>O7</f>
        <v>0</v>
      </c>
      <c r="E117" t="str">
        <f>VLOOKUP(C117, RGB_Table[], 6)</f>
        <v>0x000000,</v>
      </c>
    </row>
    <row r="118" spans="1:5">
      <c r="A118" s="1" t="s">
        <v>4</v>
      </c>
      <c r="B118" s="1">
        <v>5</v>
      </c>
      <c r="C118">
        <f>P7</f>
        <v>0</v>
      </c>
      <c r="E118" t="str">
        <f>VLOOKUP(C118, RGB_Table[], 6)</f>
        <v>0x000000,</v>
      </c>
    </row>
    <row r="119" spans="1:5">
      <c r="A119" s="1" t="s">
        <v>5</v>
      </c>
      <c r="B119" s="1">
        <v>5</v>
      </c>
      <c r="C119">
        <f>Q7</f>
        <v>0</v>
      </c>
      <c r="E119" t="str">
        <f>VLOOKUP(C119, RGB_Table[], 6)</f>
        <v>0x000000,</v>
      </c>
    </row>
    <row r="120" spans="1:5">
      <c r="A120" s="1">
        <v>0</v>
      </c>
      <c r="B120" s="1">
        <v>6</v>
      </c>
      <c r="C120">
        <f>B8</f>
        <v>0</v>
      </c>
      <c r="E120" t="str">
        <f>VLOOKUP(C120, RGB_Table[], 6)</f>
        <v>0x000000,</v>
      </c>
    </row>
    <row r="121" spans="1:5">
      <c r="A121" s="1">
        <v>1</v>
      </c>
      <c r="B121" s="1">
        <v>6</v>
      </c>
      <c r="C121">
        <f>C8</f>
        <v>0</v>
      </c>
      <c r="E121" t="str">
        <f>VLOOKUP(C121, RGB_Table[], 6)</f>
        <v>0x000000,</v>
      </c>
    </row>
    <row r="122" spans="1:5">
      <c r="A122" s="1">
        <v>2</v>
      </c>
      <c r="B122" s="1">
        <v>6</v>
      </c>
      <c r="C122">
        <f>D8</f>
        <v>1</v>
      </c>
      <c r="E122" t="str">
        <f>VLOOKUP(C122, RGB_Table[], 6)</f>
        <v>0xffffff,</v>
      </c>
    </row>
    <row r="123" spans="1:5">
      <c r="A123" s="1">
        <v>3</v>
      </c>
      <c r="B123" s="1">
        <v>6</v>
      </c>
      <c r="C123">
        <f>E8</f>
        <v>1</v>
      </c>
      <c r="E123" t="str">
        <f>VLOOKUP(C123, RGB_Table[], 6)</f>
        <v>0xffffff,</v>
      </c>
    </row>
    <row r="124" spans="1:5">
      <c r="A124" s="1">
        <v>4</v>
      </c>
      <c r="B124" s="1">
        <v>6</v>
      </c>
      <c r="C124">
        <f>F8</f>
        <v>1</v>
      </c>
      <c r="E124" t="str">
        <f>VLOOKUP(C124, RGB_Table[], 6)</f>
        <v>0xffffff,</v>
      </c>
    </row>
    <row r="125" spans="1:5">
      <c r="A125" s="1">
        <v>5</v>
      </c>
      <c r="B125" s="1">
        <v>6</v>
      </c>
      <c r="C125">
        <f>G8</f>
        <v>0</v>
      </c>
      <c r="E125" t="str">
        <f>VLOOKUP(C125, RGB_Table[], 6)</f>
        <v>0x000000,</v>
      </c>
    </row>
    <row r="126" spans="1:5">
      <c r="A126" s="1">
        <v>6</v>
      </c>
      <c r="B126" s="1">
        <v>6</v>
      </c>
      <c r="C126">
        <f>H8</f>
        <v>0</v>
      </c>
      <c r="E126" t="str">
        <f>VLOOKUP(C126, RGB_Table[], 6)</f>
        <v>0x000000,</v>
      </c>
    </row>
    <row r="127" spans="1:5">
      <c r="A127" s="1">
        <v>7</v>
      </c>
      <c r="B127" s="1">
        <v>6</v>
      </c>
      <c r="C127">
        <f>I8</f>
        <v>0</v>
      </c>
      <c r="E127" t="str">
        <f>VLOOKUP(C127, RGB_Table[], 6)</f>
        <v>0x000000,</v>
      </c>
    </row>
    <row r="128" spans="1:5">
      <c r="A128" s="1">
        <v>8</v>
      </c>
      <c r="B128" s="1">
        <v>6</v>
      </c>
      <c r="C128">
        <f>J8</f>
        <v>0</v>
      </c>
      <c r="E128" t="str">
        <f>VLOOKUP(C128, RGB_Table[], 6)</f>
        <v>0x000000,</v>
      </c>
    </row>
    <row r="129" spans="1:5">
      <c r="A129" s="1">
        <v>9</v>
      </c>
      <c r="B129" s="1">
        <v>6</v>
      </c>
      <c r="C129">
        <f>K8</f>
        <v>0</v>
      </c>
      <c r="E129" t="str">
        <f>VLOOKUP(C129, RGB_Table[], 6)</f>
        <v>0x000000,</v>
      </c>
    </row>
    <row r="130" spans="1:5">
      <c r="A130" s="1" t="s">
        <v>0</v>
      </c>
      <c r="B130" s="1">
        <v>6</v>
      </c>
      <c r="C130">
        <f>L8</f>
        <v>0</v>
      </c>
      <c r="E130" t="str">
        <f>VLOOKUP(C130, RGB_Table[], 6)</f>
        <v>0x000000,</v>
      </c>
    </row>
    <row r="131" spans="1:5">
      <c r="A131" s="1" t="s">
        <v>1</v>
      </c>
      <c r="B131" s="1">
        <v>6</v>
      </c>
      <c r="C131">
        <f>M8</f>
        <v>0</v>
      </c>
      <c r="E131" t="str">
        <f>VLOOKUP(C131, RGB_Table[], 6)</f>
        <v>0x000000,</v>
      </c>
    </row>
    <row r="132" spans="1:5">
      <c r="A132" s="1" t="s">
        <v>2</v>
      </c>
      <c r="B132" s="1">
        <v>6</v>
      </c>
      <c r="C132">
        <f>N8</f>
        <v>0</v>
      </c>
      <c r="E132" t="str">
        <f>VLOOKUP(C132, RGB_Table[], 6)</f>
        <v>0x000000,</v>
      </c>
    </row>
    <row r="133" spans="1:5">
      <c r="A133" s="1" t="s">
        <v>3</v>
      </c>
      <c r="B133" s="1">
        <v>6</v>
      </c>
      <c r="C133">
        <f>O8</f>
        <v>0</v>
      </c>
      <c r="E133" t="str">
        <f>VLOOKUP(C133, RGB_Table[], 6)</f>
        <v>0x000000,</v>
      </c>
    </row>
    <row r="134" spans="1:5">
      <c r="A134" s="1" t="s">
        <v>4</v>
      </c>
      <c r="B134" s="1">
        <v>6</v>
      </c>
      <c r="C134">
        <f>P8</f>
        <v>0</v>
      </c>
      <c r="E134" t="str">
        <f>VLOOKUP(C134, RGB_Table[], 6)</f>
        <v>0x000000,</v>
      </c>
    </row>
    <row r="135" spans="1:5">
      <c r="A135" s="1" t="s">
        <v>5</v>
      </c>
      <c r="B135" s="1">
        <v>6</v>
      </c>
      <c r="C135">
        <f>Q8</f>
        <v>0</v>
      </c>
      <c r="E135" t="str">
        <f>VLOOKUP(C135, RGB_Table[], 6)</f>
        <v>0x000000,</v>
      </c>
    </row>
    <row r="136" spans="1:5">
      <c r="A136" s="1">
        <v>0</v>
      </c>
      <c r="B136" s="1">
        <v>7</v>
      </c>
      <c r="C136">
        <f>B9</f>
        <v>0</v>
      </c>
      <c r="E136" t="str">
        <f>VLOOKUP(C136, RGB_Table[], 6)</f>
        <v>0x000000,</v>
      </c>
    </row>
    <row r="137" spans="1:5">
      <c r="A137" s="1">
        <v>1</v>
      </c>
      <c r="B137" s="1">
        <v>7</v>
      </c>
      <c r="C137">
        <f>C9</f>
        <v>0</v>
      </c>
      <c r="E137" t="str">
        <f>VLOOKUP(C137, RGB_Table[], 6)</f>
        <v>0x000000,</v>
      </c>
    </row>
    <row r="138" spans="1:5">
      <c r="A138" s="1">
        <v>2</v>
      </c>
      <c r="B138" s="1">
        <v>7</v>
      </c>
      <c r="C138">
        <f>D9</f>
        <v>0</v>
      </c>
      <c r="E138" t="str">
        <f>VLOOKUP(C138, RGB_Table[], 6)</f>
        <v>0x000000,</v>
      </c>
    </row>
    <row r="139" spans="1:5">
      <c r="A139" s="1">
        <v>3</v>
      </c>
      <c r="B139" s="1">
        <v>7</v>
      </c>
      <c r="C139">
        <f>E9</f>
        <v>0</v>
      </c>
      <c r="E139" t="str">
        <f>VLOOKUP(C139, RGB_Table[], 6)</f>
        <v>0x000000,</v>
      </c>
    </row>
    <row r="140" spans="1:5">
      <c r="A140" s="1">
        <v>4</v>
      </c>
      <c r="B140" s="1">
        <v>7</v>
      </c>
      <c r="C140">
        <f>F9</f>
        <v>0</v>
      </c>
      <c r="E140" t="str">
        <f>VLOOKUP(C140, RGB_Table[], 6)</f>
        <v>0x000000,</v>
      </c>
    </row>
    <row r="141" spans="1:5">
      <c r="A141" s="1">
        <v>5</v>
      </c>
      <c r="B141" s="1">
        <v>7</v>
      </c>
      <c r="C141">
        <f>G9</f>
        <v>0</v>
      </c>
      <c r="E141" t="str">
        <f>VLOOKUP(C141, RGB_Table[], 6)</f>
        <v>0x000000,</v>
      </c>
    </row>
    <row r="142" spans="1:5">
      <c r="A142" s="1">
        <v>6</v>
      </c>
      <c r="B142" s="1">
        <v>7</v>
      </c>
      <c r="C142">
        <f>H9</f>
        <v>0</v>
      </c>
      <c r="E142" t="str">
        <f>VLOOKUP(C142, RGB_Table[], 6)</f>
        <v>0x000000,</v>
      </c>
    </row>
    <row r="143" spans="1:5">
      <c r="A143" s="1">
        <v>7</v>
      </c>
      <c r="B143" s="1">
        <v>7</v>
      </c>
      <c r="C143">
        <f>I9</f>
        <v>0</v>
      </c>
      <c r="E143" t="str">
        <f>VLOOKUP(C143, RGB_Table[], 6)</f>
        <v>0x000000,</v>
      </c>
    </row>
    <row r="144" spans="1:5">
      <c r="A144" s="1">
        <v>8</v>
      </c>
      <c r="B144" s="1">
        <v>7</v>
      </c>
      <c r="C144">
        <f>J9</f>
        <v>0</v>
      </c>
      <c r="E144" t="str">
        <f>VLOOKUP(C144, RGB_Table[], 6)</f>
        <v>0x000000,</v>
      </c>
    </row>
    <row r="145" spans="1:5">
      <c r="A145" s="1">
        <v>9</v>
      </c>
      <c r="B145" s="1">
        <v>7</v>
      </c>
      <c r="C145">
        <f>K9</f>
        <v>0</v>
      </c>
      <c r="E145" t="str">
        <f>VLOOKUP(C145, RGB_Table[], 6)</f>
        <v>0x000000,</v>
      </c>
    </row>
    <row r="146" spans="1:5">
      <c r="A146" s="1" t="s">
        <v>0</v>
      </c>
      <c r="B146" s="1">
        <v>7</v>
      </c>
      <c r="C146">
        <f>L9</f>
        <v>0</v>
      </c>
      <c r="E146" t="str">
        <f>VLOOKUP(C146, RGB_Table[], 6)</f>
        <v>0x000000,</v>
      </c>
    </row>
    <row r="147" spans="1:5">
      <c r="A147" s="1" t="s">
        <v>1</v>
      </c>
      <c r="B147" s="1">
        <v>7</v>
      </c>
      <c r="C147">
        <f>M9</f>
        <v>0</v>
      </c>
      <c r="E147" t="str">
        <f>VLOOKUP(C147, RGB_Table[], 6)</f>
        <v>0x000000,</v>
      </c>
    </row>
    <row r="148" spans="1:5">
      <c r="A148" s="1" t="s">
        <v>2</v>
      </c>
      <c r="B148" s="1">
        <v>7</v>
      </c>
      <c r="C148">
        <f>N9</f>
        <v>0</v>
      </c>
      <c r="E148" t="str">
        <f>VLOOKUP(C148, RGB_Table[], 6)</f>
        <v>0x000000,</v>
      </c>
    </row>
    <row r="149" spans="1:5">
      <c r="A149" s="1" t="s">
        <v>3</v>
      </c>
      <c r="B149" s="1">
        <v>7</v>
      </c>
      <c r="C149">
        <f>O9</f>
        <v>0</v>
      </c>
      <c r="E149" t="str">
        <f>VLOOKUP(C149, RGB_Table[], 6)</f>
        <v>0x000000,</v>
      </c>
    </row>
    <row r="150" spans="1:5">
      <c r="A150" s="1" t="s">
        <v>4</v>
      </c>
      <c r="B150" s="1">
        <v>7</v>
      </c>
      <c r="C150">
        <f>P9</f>
        <v>0</v>
      </c>
      <c r="E150" t="str">
        <f>VLOOKUP(C150, RGB_Table[], 6)</f>
        <v>0x000000,</v>
      </c>
    </row>
    <row r="151" spans="1:5">
      <c r="A151" s="1" t="s">
        <v>5</v>
      </c>
      <c r="B151" s="1">
        <v>7</v>
      </c>
      <c r="C151">
        <f>Q9</f>
        <v>0</v>
      </c>
      <c r="E151" t="str">
        <f>VLOOKUP(C151, RGB_Table[], 6)</f>
        <v>0x000000,</v>
      </c>
    </row>
    <row r="152" spans="1:5">
      <c r="A152" s="1">
        <v>0</v>
      </c>
      <c r="B152" s="1">
        <v>8</v>
      </c>
      <c r="C152">
        <f>B10</f>
        <v>0</v>
      </c>
      <c r="E152" t="str">
        <f>VLOOKUP(C152, RGB_Table[], 6)</f>
        <v>0x000000,</v>
      </c>
    </row>
    <row r="153" spans="1:5">
      <c r="A153" s="1">
        <v>1</v>
      </c>
      <c r="B153" s="1">
        <v>8</v>
      </c>
      <c r="C153">
        <f>C10</f>
        <v>0</v>
      </c>
      <c r="E153" t="str">
        <f>VLOOKUP(C153, RGB_Table[], 6)</f>
        <v>0x000000,</v>
      </c>
    </row>
    <row r="154" spans="1:5">
      <c r="A154" s="1">
        <v>2</v>
      </c>
      <c r="B154" s="1">
        <v>8</v>
      </c>
      <c r="C154">
        <f>D10</f>
        <v>0</v>
      </c>
      <c r="E154" t="str">
        <f>VLOOKUP(C154, RGB_Table[], 6)</f>
        <v>0x000000,</v>
      </c>
    </row>
    <row r="155" spans="1:5">
      <c r="A155" s="1">
        <v>3</v>
      </c>
      <c r="B155" s="1">
        <v>8</v>
      </c>
      <c r="C155">
        <f>E10</f>
        <v>0</v>
      </c>
      <c r="E155" t="str">
        <f>VLOOKUP(C155, RGB_Table[], 6)</f>
        <v>0x000000,</v>
      </c>
    </row>
    <row r="156" spans="1:5">
      <c r="A156" s="1">
        <v>4</v>
      </c>
      <c r="B156" s="1">
        <v>8</v>
      </c>
      <c r="C156">
        <f>F10</f>
        <v>0</v>
      </c>
      <c r="E156" t="str">
        <f>VLOOKUP(C156, RGB_Table[], 6)</f>
        <v>0x000000,</v>
      </c>
    </row>
    <row r="157" spans="1:5">
      <c r="A157" s="1">
        <v>5</v>
      </c>
      <c r="B157" s="1">
        <v>8</v>
      </c>
      <c r="C157">
        <f>G10</f>
        <v>0</v>
      </c>
      <c r="E157" t="str">
        <f>VLOOKUP(C157, RGB_Table[], 6)</f>
        <v>0x000000,</v>
      </c>
    </row>
    <row r="158" spans="1:5">
      <c r="A158" s="1">
        <v>6</v>
      </c>
      <c r="B158" s="1">
        <v>8</v>
      </c>
      <c r="C158">
        <f>H10</f>
        <v>0</v>
      </c>
      <c r="E158" t="str">
        <f>VLOOKUP(C158, RGB_Table[], 6)</f>
        <v>0x000000,</v>
      </c>
    </row>
    <row r="159" spans="1:5">
      <c r="A159" s="1">
        <v>7</v>
      </c>
      <c r="B159" s="1">
        <v>8</v>
      </c>
      <c r="C159">
        <f>I10</f>
        <v>0</v>
      </c>
      <c r="E159" t="str">
        <f>VLOOKUP(C159, RGB_Table[], 6)</f>
        <v>0x000000,</v>
      </c>
    </row>
    <row r="160" spans="1:5">
      <c r="A160" s="1">
        <v>8</v>
      </c>
      <c r="B160" s="1">
        <v>8</v>
      </c>
      <c r="C160">
        <f>J10</f>
        <v>0</v>
      </c>
      <c r="E160" t="str">
        <f>VLOOKUP(C160, RGB_Table[], 6)</f>
        <v>0x000000,</v>
      </c>
    </row>
    <row r="161" spans="1:5">
      <c r="A161" s="1">
        <v>9</v>
      </c>
      <c r="B161" s="1">
        <v>8</v>
      </c>
      <c r="C161">
        <f>K10</f>
        <v>0</v>
      </c>
      <c r="E161" t="str">
        <f>VLOOKUP(C161, RGB_Table[], 6)</f>
        <v>0x000000,</v>
      </c>
    </row>
    <row r="162" spans="1:5">
      <c r="A162" s="1" t="s">
        <v>0</v>
      </c>
      <c r="B162" s="1">
        <v>8</v>
      </c>
      <c r="C162">
        <f>L10</f>
        <v>0</v>
      </c>
      <c r="E162" t="str">
        <f>VLOOKUP(C162, RGB_Table[], 6)</f>
        <v>0x000000,</v>
      </c>
    </row>
    <row r="163" spans="1:5">
      <c r="A163" s="1" t="s">
        <v>1</v>
      </c>
      <c r="B163" s="1">
        <v>8</v>
      </c>
      <c r="C163">
        <f>M10</f>
        <v>0</v>
      </c>
      <c r="E163" t="str">
        <f>VLOOKUP(C163, RGB_Table[], 6)</f>
        <v>0x000000,</v>
      </c>
    </row>
    <row r="164" spans="1:5">
      <c r="A164" s="1" t="s">
        <v>2</v>
      </c>
      <c r="B164" s="1">
        <v>8</v>
      </c>
      <c r="C164">
        <f>N10</f>
        <v>0</v>
      </c>
      <c r="E164" t="str">
        <f>VLOOKUP(C164, RGB_Table[], 6)</f>
        <v>0x000000,</v>
      </c>
    </row>
    <row r="165" spans="1:5">
      <c r="A165" s="1" t="s">
        <v>3</v>
      </c>
      <c r="B165" s="1">
        <v>8</v>
      </c>
      <c r="C165">
        <f>O10</f>
        <v>0</v>
      </c>
      <c r="E165" t="str">
        <f>VLOOKUP(C165, RGB_Table[], 6)</f>
        <v>0x000000,</v>
      </c>
    </row>
    <row r="166" spans="1:5">
      <c r="A166" s="1" t="s">
        <v>4</v>
      </c>
      <c r="B166" s="1">
        <v>8</v>
      </c>
      <c r="C166">
        <f>P10</f>
        <v>0</v>
      </c>
      <c r="E166" t="str">
        <f>VLOOKUP(C166, RGB_Table[], 6)</f>
        <v>0x000000,</v>
      </c>
    </row>
    <row r="167" spans="1:5">
      <c r="A167" s="1" t="s">
        <v>5</v>
      </c>
      <c r="B167" s="1">
        <v>8</v>
      </c>
      <c r="C167">
        <f>Q10</f>
        <v>0</v>
      </c>
      <c r="E167" t="str">
        <f>VLOOKUP(C167, RGB_Table[], 6)</f>
        <v>0x000000,</v>
      </c>
    </row>
    <row r="168" spans="1:5">
      <c r="A168" s="1">
        <v>0</v>
      </c>
      <c r="B168" s="1">
        <v>9</v>
      </c>
      <c r="C168">
        <f>B11</f>
        <v>0</v>
      </c>
      <c r="E168" t="str">
        <f>VLOOKUP(C168, RGB_Table[], 6)</f>
        <v>0x000000,</v>
      </c>
    </row>
    <row r="169" spans="1:5">
      <c r="A169" s="1">
        <v>1</v>
      </c>
      <c r="B169" s="1">
        <v>9</v>
      </c>
      <c r="C169">
        <f>C11</f>
        <v>0</v>
      </c>
      <c r="E169" t="str">
        <f>VLOOKUP(C169, RGB_Table[], 6)</f>
        <v>0x000000,</v>
      </c>
    </row>
    <row r="170" spans="1:5">
      <c r="A170" s="1">
        <v>2</v>
      </c>
      <c r="B170" s="1">
        <v>9</v>
      </c>
      <c r="C170">
        <f>D11</f>
        <v>1</v>
      </c>
      <c r="E170" t="str">
        <f>VLOOKUP(C170, RGB_Table[], 6)</f>
        <v>0xffffff,</v>
      </c>
    </row>
    <row r="171" spans="1:5">
      <c r="A171" s="1">
        <v>3</v>
      </c>
      <c r="B171" s="1">
        <v>9</v>
      </c>
      <c r="C171">
        <f>E11</f>
        <v>1</v>
      </c>
      <c r="E171" t="str">
        <f>VLOOKUP(C171, RGB_Table[], 6)</f>
        <v>0xffffff,</v>
      </c>
    </row>
    <row r="172" spans="1:5">
      <c r="A172" s="1">
        <v>4</v>
      </c>
      <c r="B172" s="1">
        <v>9</v>
      </c>
      <c r="C172">
        <f>F11</f>
        <v>1</v>
      </c>
      <c r="E172" t="str">
        <f>VLOOKUP(C172, RGB_Table[], 6)</f>
        <v>0xffffff,</v>
      </c>
    </row>
    <row r="173" spans="1:5">
      <c r="A173" s="1">
        <v>5</v>
      </c>
      <c r="B173" s="1">
        <v>9</v>
      </c>
      <c r="C173">
        <f>G11</f>
        <v>0</v>
      </c>
      <c r="E173" t="str">
        <f>VLOOKUP(C173, RGB_Table[], 6)</f>
        <v>0x000000,</v>
      </c>
    </row>
    <row r="174" spans="1:5">
      <c r="A174" s="1">
        <v>6</v>
      </c>
      <c r="B174" s="1">
        <v>9</v>
      </c>
      <c r="C174">
        <f>H11</f>
        <v>0</v>
      </c>
      <c r="E174" t="str">
        <f>VLOOKUP(C174, RGB_Table[], 6)</f>
        <v>0x000000,</v>
      </c>
    </row>
    <row r="175" spans="1:5">
      <c r="A175" s="1">
        <v>7</v>
      </c>
      <c r="B175" s="1">
        <v>9</v>
      </c>
      <c r="C175">
        <f>I11</f>
        <v>0</v>
      </c>
      <c r="E175" t="str">
        <f>VLOOKUP(C175, RGB_Table[], 6)</f>
        <v>0x000000,</v>
      </c>
    </row>
    <row r="176" spans="1:5">
      <c r="A176" s="1">
        <v>8</v>
      </c>
      <c r="B176" s="1">
        <v>9</v>
      </c>
      <c r="C176">
        <f>J11</f>
        <v>0</v>
      </c>
      <c r="E176" t="str">
        <f>VLOOKUP(C176, RGB_Table[], 6)</f>
        <v>0x000000,</v>
      </c>
    </row>
    <row r="177" spans="1:5">
      <c r="A177" s="1">
        <v>9</v>
      </c>
      <c r="B177" s="1">
        <v>9</v>
      </c>
      <c r="C177">
        <f>K11</f>
        <v>0</v>
      </c>
      <c r="E177" t="str">
        <f>VLOOKUP(C177, RGB_Table[], 6)</f>
        <v>0x000000,</v>
      </c>
    </row>
    <row r="178" spans="1:5">
      <c r="A178" s="1" t="s">
        <v>0</v>
      </c>
      <c r="B178" s="1">
        <v>9</v>
      </c>
      <c r="C178">
        <f>L11</f>
        <v>0</v>
      </c>
      <c r="E178" t="str">
        <f>VLOOKUP(C178, RGB_Table[], 6)</f>
        <v>0x000000,</v>
      </c>
    </row>
    <row r="179" spans="1:5">
      <c r="A179" s="1" t="s">
        <v>1</v>
      </c>
      <c r="B179" s="1">
        <v>9</v>
      </c>
      <c r="C179">
        <f>M11</f>
        <v>0</v>
      </c>
      <c r="E179" t="str">
        <f>VLOOKUP(C179, RGB_Table[], 6)</f>
        <v>0x000000,</v>
      </c>
    </row>
    <row r="180" spans="1:5">
      <c r="A180" s="1" t="s">
        <v>2</v>
      </c>
      <c r="B180" s="1">
        <v>9</v>
      </c>
      <c r="C180">
        <f>N11</f>
        <v>0</v>
      </c>
      <c r="E180" t="str">
        <f>VLOOKUP(C180, RGB_Table[], 6)</f>
        <v>0x000000,</v>
      </c>
    </row>
    <row r="181" spans="1:5">
      <c r="A181" s="1" t="s">
        <v>3</v>
      </c>
      <c r="B181" s="1">
        <v>9</v>
      </c>
      <c r="C181">
        <f>O11</f>
        <v>0</v>
      </c>
      <c r="E181" t="str">
        <f>VLOOKUP(C181, RGB_Table[], 6)</f>
        <v>0x000000,</v>
      </c>
    </row>
    <row r="182" spans="1:5">
      <c r="A182" s="1" t="s">
        <v>4</v>
      </c>
      <c r="B182" s="1">
        <v>9</v>
      </c>
      <c r="C182">
        <f>P11</f>
        <v>0</v>
      </c>
      <c r="E182" t="str">
        <f>VLOOKUP(C182, RGB_Table[], 6)</f>
        <v>0x000000,</v>
      </c>
    </row>
    <row r="183" spans="1:5">
      <c r="A183" s="1" t="s">
        <v>5</v>
      </c>
      <c r="B183" s="1">
        <v>9</v>
      </c>
      <c r="C183">
        <f>Q11</f>
        <v>0</v>
      </c>
      <c r="E183" t="str">
        <f>VLOOKUP(C183, RGB_Table[], 6)</f>
        <v>0x000000,</v>
      </c>
    </row>
    <row r="184" spans="1:5">
      <c r="A184" s="1">
        <v>0</v>
      </c>
      <c r="B184" s="16" t="s">
        <v>0</v>
      </c>
      <c r="C184">
        <f>B12</f>
        <v>0</v>
      </c>
      <c r="E184" t="str">
        <f>VLOOKUP(C184, RGB_Table[], 6)</f>
        <v>0x000000,</v>
      </c>
    </row>
    <row r="185" spans="1:5">
      <c r="A185" s="1">
        <v>1</v>
      </c>
      <c r="B185" s="16" t="s">
        <v>0</v>
      </c>
      <c r="C185">
        <f>C12</f>
        <v>1</v>
      </c>
      <c r="E185" t="str">
        <f>VLOOKUP(C185, RGB_Table[], 6)</f>
        <v>0xffffff,</v>
      </c>
    </row>
    <row r="186" spans="1:5">
      <c r="A186" s="1">
        <v>2</v>
      </c>
      <c r="B186" s="16" t="s">
        <v>0</v>
      </c>
      <c r="C186">
        <f>D12</f>
        <v>1</v>
      </c>
      <c r="E186" t="str">
        <f>VLOOKUP(C186, RGB_Table[], 6)</f>
        <v>0xffffff,</v>
      </c>
    </row>
    <row r="187" spans="1:5">
      <c r="A187" s="1">
        <v>3</v>
      </c>
      <c r="B187" s="16" t="s">
        <v>0</v>
      </c>
      <c r="C187">
        <f>E12</f>
        <v>1</v>
      </c>
      <c r="E187" t="str">
        <f>VLOOKUP(C187, RGB_Table[], 6)</f>
        <v>0xffffff,</v>
      </c>
    </row>
    <row r="188" spans="1:5">
      <c r="A188" s="1">
        <v>4</v>
      </c>
      <c r="B188" s="16" t="s">
        <v>0</v>
      </c>
      <c r="C188">
        <f>F12</f>
        <v>1</v>
      </c>
      <c r="E188" t="str">
        <f>VLOOKUP(C188, RGB_Table[], 6)</f>
        <v>0xffffff,</v>
      </c>
    </row>
    <row r="189" spans="1:5">
      <c r="A189" s="1">
        <v>5</v>
      </c>
      <c r="B189" s="16" t="s">
        <v>0</v>
      </c>
      <c r="C189">
        <f>G12</f>
        <v>1</v>
      </c>
      <c r="E189" t="str">
        <f>VLOOKUP(C189, RGB_Table[], 6)</f>
        <v>0xffffff,</v>
      </c>
    </row>
    <row r="190" spans="1:5">
      <c r="A190" s="1">
        <v>6</v>
      </c>
      <c r="B190" s="16" t="s">
        <v>0</v>
      </c>
      <c r="C190">
        <f>H12</f>
        <v>0</v>
      </c>
      <c r="E190" t="str">
        <f>VLOOKUP(C190, RGB_Table[], 6)</f>
        <v>0x000000,</v>
      </c>
    </row>
    <row r="191" spans="1:5">
      <c r="A191" s="1">
        <v>7</v>
      </c>
      <c r="B191" s="16" t="s">
        <v>0</v>
      </c>
      <c r="C191">
        <f>I12</f>
        <v>0</v>
      </c>
      <c r="E191" t="str">
        <f>VLOOKUP(C191, RGB_Table[], 6)</f>
        <v>0x000000,</v>
      </c>
    </row>
    <row r="192" spans="1:5">
      <c r="A192" s="1">
        <v>8</v>
      </c>
      <c r="B192" s="16" t="s">
        <v>0</v>
      </c>
      <c r="C192">
        <f>J12</f>
        <v>0</v>
      </c>
      <c r="E192" t="str">
        <f>VLOOKUP(C192, RGB_Table[], 6)</f>
        <v>0x000000,</v>
      </c>
    </row>
    <row r="193" spans="1:5">
      <c r="A193" s="1">
        <v>9</v>
      </c>
      <c r="B193" s="16" t="s">
        <v>0</v>
      </c>
      <c r="C193">
        <f>K12</f>
        <v>0</v>
      </c>
      <c r="E193" t="str">
        <f>VLOOKUP(C193, RGB_Table[], 6)</f>
        <v>0x000000,</v>
      </c>
    </row>
    <row r="194" spans="1:5">
      <c r="A194" s="1" t="s">
        <v>0</v>
      </c>
      <c r="B194" s="16" t="s">
        <v>0</v>
      </c>
      <c r="C194">
        <f>L12</f>
        <v>0</v>
      </c>
      <c r="E194" t="str">
        <f>VLOOKUP(C194, RGB_Table[], 6)</f>
        <v>0x000000,</v>
      </c>
    </row>
    <row r="195" spans="1:5">
      <c r="A195" s="1" t="s">
        <v>1</v>
      </c>
      <c r="B195" s="16" t="s">
        <v>0</v>
      </c>
      <c r="C195">
        <f>M12</f>
        <v>0</v>
      </c>
      <c r="E195" t="str">
        <f>VLOOKUP(C195, RGB_Table[], 6)</f>
        <v>0x000000,</v>
      </c>
    </row>
    <row r="196" spans="1:5">
      <c r="A196" s="1" t="s">
        <v>2</v>
      </c>
      <c r="B196" s="16" t="s">
        <v>0</v>
      </c>
      <c r="C196">
        <f>N12</f>
        <v>0</v>
      </c>
      <c r="E196" t="str">
        <f>VLOOKUP(C196, RGB_Table[], 6)</f>
        <v>0x000000,</v>
      </c>
    </row>
    <row r="197" spans="1:5">
      <c r="A197" s="1" t="s">
        <v>3</v>
      </c>
      <c r="B197" s="16" t="s">
        <v>0</v>
      </c>
      <c r="C197">
        <f>O12</f>
        <v>0</v>
      </c>
      <c r="E197" t="str">
        <f>VLOOKUP(C197, RGB_Table[], 6)</f>
        <v>0x000000,</v>
      </c>
    </row>
    <row r="198" spans="1:5">
      <c r="A198" s="1" t="s">
        <v>4</v>
      </c>
      <c r="B198" s="16" t="s">
        <v>0</v>
      </c>
      <c r="C198">
        <f>P12</f>
        <v>0</v>
      </c>
      <c r="E198" t="str">
        <f>VLOOKUP(C198, RGB_Table[], 6)</f>
        <v>0x000000,</v>
      </c>
    </row>
    <row r="199" spans="1:5">
      <c r="A199" s="1" t="s">
        <v>5</v>
      </c>
      <c r="B199" s="16" t="s">
        <v>0</v>
      </c>
      <c r="C199">
        <f>Q12</f>
        <v>0</v>
      </c>
      <c r="E199" t="str">
        <f>VLOOKUP(C199, RGB_Table[], 6)</f>
        <v>0x000000,</v>
      </c>
    </row>
    <row r="200" spans="1:5">
      <c r="A200" s="1">
        <v>0</v>
      </c>
      <c r="B200" s="16" t="s">
        <v>1</v>
      </c>
      <c r="C200">
        <f>B13</f>
        <v>0</v>
      </c>
      <c r="E200" t="str">
        <f>VLOOKUP(C200, RGB_Table[], 6)</f>
        <v>0x000000,</v>
      </c>
    </row>
    <row r="201" spans="1:5">
      <c r="A201" s="1">
        <v>1</v>
      </c>
      <c r="B201" s="16" t="s">
        <v>1</v>
      </c>
      <c r="C201">
        <f>C13</f>
        <v>1</v>
      </c>
      <c r="E201" t="str">
        <f>VLOOKUP(C201, RGB_Table[], 6)</f>
        <v>0xffffff,</v>
      </c>
    </row>
    <row r="202" spans="1:5">
      <c r="A202" s="1">
        <v>2</v>
      </c>
      <c r="B202" s="16" t="s">
        <v>1</v>
      </c>
      <c r="C202">
        <f>D13</f>
        <v>1</v>
      </c>
      <c r="E202" t="str">
        <f>VLOOKUP(C202, RGB_Table[], 6)</f>
        <v>0xffffff,</v>
      </c>
    </row>
    <row r="203" spans="1:5">
      <c r="A203" s="1">
        <v>3</v>
      </c>
      <c r="B203" s="16" t="s">
        <v>1</v>
      </c>
      <c r="C203">
        <f>E13</f>
        <v>1</v>
      </c>
      <c r="E203" t="str">
        <f>VLOOKUP(C203, RGB_Table[], 6)</f>
        <v>0xffffff,</v>
      </c>
    </row>
    <row r="204" spans="1:5">
      <c r="A204" s="1">
        <v>4</v>
      </c>
      <c r="B204" s="16" t="s">
        <v>1</v>
      </c>
      <c r="C204">
        <f>F13</f>
        <v>1</v>
      </c>
      <c r="E204" t="str">
        <f>VLOOKUP(C204, RGB_Table[], 6)</f>
        <v>0xffffff,</v>
      </c>
    </row>
    <row r="205" spans="1:5">
      <c r="A205" s="1">
        <v>5</v>
      </c>
      <c r="B205" s="16" t="s">
        <v>1</v>
      </c>
      <c r="C205">
        <f>G13</f>
        <v>1</v>
      </c>
      <c r="E205" t="str">
        <f>VLOOKUP(C205, RGB_Table[], 6)</f>
        <v>0xffffff,</v>
      </c>
    </row>
    <row r="206" spans="1:5">
      <c r="A206" s="1">
        <v>6</v>
      </c>
      <c r="B206" s="16" t="s">
        <v>1</v>
      </c>
      <c r="C206">
        <f>H13</f>
        <v>1</v>
      </c>
      <c r="E206" t="str">
        <f>VLOOKUP(C206, RGB_Table[], 6)</f>
        <v>0xffffff,</v>
      </c>
    </row>
    <row r="207" spans="1:5">
      <c r="A207" s="1">
        <v>7</v>
      </c>
      <c r="B207" s="16" t="s">
        <v>1</v>
      </c>
      <c r="C207">
        <f>I13</f>
        <v>0</v>
      </c>
      <c r="E207" t="str">
        <f>VLOOKUP(C207, RGB_Table[], 6)</f>
        <v>0x000000,</v>
      </c>
    </row>
    <row r="208" spans="1:5">
      <c r="A208" s="1">
        <v>8</v>
      </c>
      <c r="B208" s="16" t="s">
        <v>1</v>
      </c>
      <c r="C208">
        <f>J13</f>
        <v>0</v>
      </c>
      <c r="E208" t="str">
        <f>VLOOKUP(C208, RGB_Table[], 6)</f>
        <v>0x000000,</v>
      </c>
    </row>
    <row r="209" spans="1:5">
      <c r="A209" s="1">
        <v>9</v>
      </c>
      <c r="B209" s="16" t="s">
        <v>1</v>
      </c>
      <c r="C209">
        <f>K13</f>
        <v>0</v>
      </c>
      <c r="E209" t="str">
        <f>VLOOKUP(C209, RGB_Table[], 6)</f>
        <v>0x000000,</v>
      </c>
    </row>
    <row r="210" spans="1:5">
      <c r="A210" s="1" t="s">
        <v>0</v>
      </c>
      <c r="B210" s="16" t="s">
        <v>1</v>
      </c>
      <c r="C210">
        <f>L13</f>
        <v>0</v>
      </c>
      <c r="E210" t="str">
        <f>VLOOKUP(C210, RGB_Table[], 6)</f>
        <v>0x000000,</v>
      </c>
    </row>
    <row r="211" spans="1:5">
      <c r="A211" s="1" t="s">
        <v>1</v>
      </c>
      <c r="B211" s="16" t="s">
        <v>1</v>
      </c>
      <c r="C211">
        <f>M13</f>
        <v>0</v>
      </c>
      <c r="E211" t="str">
        <f>VLOOKUP(C211, RGB_Table[], 6)</f>
        <v>0x000000,</v>
      </c>
    </row>
    <row r="212" spans="1:5">
      <c r="A212" s="1" t="s">
        <v>2</v>
      </c>
      <c r="B212" s="16" t="s">
        <v>1</v>
      </c>
      <c r="C212">
        <f>N13</f>
        <v>0</v>
      </c>
      <c r="E212" t="str">
        <f>VLOOKUP(C212, RGB_Table[], 6)</f>
        <v>0x000000,</v>
      </c>
    </row>
    <row r="213" spans="1:5">
      <c r="A213" s="1" t="s">
        <v>3</v>
      </c>
      <c r="B213" s="16" t="s">
        <v>1</v>
      </c>
      <c r="C213">
        <f>O13</f>
        <v>0</v>
      </c>
      <c r="E213" t="str">
        <f>VLOOKUP(C213, RGB_Table[], 6)</f>
        <v>0x000000,</v>
      </c>
    </row>
    <row r="214" spans="1:5">
      <c r="A214" s="1" t="s">
        <v>4</v>
      </c>
      <c r="B214" s="16" t="s">
        <v>1</v>
      </c>
      <c r="C214">
        <f>P13</f>
        <v>0</v>
      </c>
      <c r="E214" t="str">
        <f>VLOOKUP(C214, RGB_Table[], 6)</f>
        <v>0x000000,</v>
      </c>
    </row>
    <row r="215" spans="1:5">
      <c r="A215" s="1" t="s">
        <v>5</v>
      </c>
      <c r="B215" s="16" t="s">
        <v>1</v>
      </c>
      <c r="C215">
        <f>Q13</f>
        <v>0</v>
      </c>
      <c r="E215" t="str">
        <f>VLOOKUP(C215, RGB_Table[], 6)</f>
        <v>0x000000,</v>
      </c>
    </row>
    <row r="216" spans="1:5">
      <c r="A216" s="1">
        <v>0</v>
      </c>
      <c r="B216" s="16" t="s">
        <v>2</v>
      </c>
      <c r="C216">
        <f>B14</f>
        <v>0</v>
      </c>
      <c r="E216" t="str">
        <f>VLOOKUP(C216, RGB_Table[], 6)</f>
        <v>0x000000,</v>
      </c>
    </row>
    <row r="217" spans="1:5">
      <c r="A217" s="1">
        <v>1</v>
      </c>
      <c r="B217" s="16" t="s">
        <v>2</v>
      </c>
      <c r="C217">
        <f>C14</f>
        <v>0</v>
      </c>
      <c r="E217" t="str">
        <f>VLOOKUP(C217, RGB_Table[], 6)</f>
        <v>0x000000,</v>
      </c>
    </row>
    <row r="218" spans="1:5">
      <c r="A218" s="1">
        <v>2</v>
      </c>
      <c r="B218" s="16" t="s">
        <v>2</v>
      </c>
      <c r="C218">
        <f>D14</f>
        <v>1</v>
      </c>
      <c r="E218" t="str">
        <f>VLOOKUP(C218, RGB_Table[], 6)</f>
        <v>0xffffff,</v>
      </c>
    </row>
    <row r="219" spans="1:5">
      <c r="A219" s="1">
        <v>3</v>
      </c>
      <c r="B219" s="16" t="s">
        <v>2</v>
      </c>
      <c r="C219">
        <f>E14</f>
        <v>1</v>
      </c>
      <c r="E219" t="str">
        <f>VLOOKUP(C219, RGB_Table[], 6)</f>
        <v>0xffffff,</v>
      </c>
    </row>
    <row r="220" spans="1:5">
      <c r="A220" s="1">
        <v>4</v>
      </c>
      <c r="B220" s="16" t="s">
        <v>2</v>
      </c>
      <c r="C220">
        <f>F14</f>
        <v>1</v>
      </c>
      <c r="E220" t="str">
        <f>VLOOKUP(C220, RGB_Table[], 6)</f>
        <v>0xffffff,</v>
      </c>
    </row>
    <row r="221" spans="1:5">
      <c r="A221" s="1">
        <v>5</v>
      </c>
      <c r="B221" s="16" t="s">
        <v>2</v>
      </c>
      <c r="C221">
        <f>G14</f>
        <v>1</v>
      </c>
      <c r="E221" t="str">
        <f>VLOOKUP(C221, RGB_Table[], 6)</f>
        <v>0xffffff,</v>
      </c>
    </row>
    <row r="222" spans="1:5">
      <c r="A222" s="1">
        <v>6</v>
      </c>
      <c r="B222" s="16" t="s">
        <v>2</v>
      </c>
      <c r="C222">
        <f>H14</f>
        <v>1</v>
      </c>
      <c r="E222" t="str">
        <f>VLOOKUP(C222, RGB_Table[], 6)</f>
        <v>0xffffff,</v>
      </c>
    </row>
    <row r="223" spans="1:5">
      <c r="A223" s="1">
        <v>7</v>
      </c>
      <c r="B223" s="16" t="s">
        <v>2</v>
      </c>
      <c r="C223">
        <f>I14</f>
        <v>1</v>
      </c>
      <c r="E223" t="str">
        <f>VLOOKUP(C223, RGB_Table[], 6)</f>
        <v>0xffffff,</v>
      </c>
    </row>
    <row r="224" spans="1:5">
      <c r="A224" s="1">
        <v>8</v>
      </c>
      <c r="B224" s="16" t="s">
        <v>2</v>
      </c>
      <c r="C224">
        <f>J14</f>
        <v>0</v>
      </c>
      <c r="E224" t="str">
        <f>VLOOKUP(C224, RGB_Table[], 6)</f>
        <v>0x000000,</v>
      </c>
    </row>
    <row r="225" spans="1:5">
      <c r="A225" s="1">
        <v>9</v>
      </c>
      <c r="B225" s="16" t="s">
        <v>2</v>
      </c>
      <c r="C225">
        <f>K14</f>
        <v>0</v>
      </c>
      <c r="E225" t="str">
        <f>VLOOKUP(C225, RGB_Table[], 6)</f>
        <v>0x000000,</v>
      </c>
    </row>
    <row r="226" spans="1:5">
      <c r="A226" s="1" t="s">
        <v>0</v>
      </c>
      <c r="B226" s="16" t="s">
        <v>2</v>
      </c>
      <c r="C226">
        <f>L14</f>
        <v>0</v>
      </c>
      <c r="E226" t="str">
        <f>VLOOKUP(C226, RGB_Table[], 6)</f>
        <v>0x000000,</v>
      </c>
    </row>
    <row r="227" spans="1:5">
      <c r="A227" s="1" t="s">
        <v>1</v>
      </c>
      <c r="B227" s="16" t="s">
        <v>2</v>
      </c>
      <c r="C227">
        <f>M14</f>
        <v>0</v>
      </c>
      <c r="E227" t="str">
        <f>VLOOKUP(C227, RGB_Table[], 6)</f>
        <v>0x000000,</v>
      </c>
    </row>
    <row r="228" spans="1:5">
      <c r="A228" s="1" t="s">
        <v>2</v>
      </c>
      <c r="B228" s="16" t="s">
        <v>2</v>
      </c>
      <c r="C228">
        <f>N14</f>
        <v>0</v>
      </c>
      <c r="E228" t="str">
        <f>VLOOKUP(C228, RGB_Table[], 6)</f>
        <v>0x000000,</v>
      </c>
    </row>
    <row r="229" spans="1:5">
      <c r="A229" s="1" t="s">
        <v>3</v>
      </c>
      <c r="B229" s="16" t="s">
        <v>2</v>
      </c>
      <c r="C229">
        <f>O14</f>
        <v>0</v>
      </c>
      <c r="E229" t="str">
        <f>VLOOKUP(C229, RGB_Table[], 6)</f>
        <v>0x000000,</v>
      </c>
    </row>
    <row r="230" spans="1:5">
      <c r="A230" s="1" t="s">
        <v>4</v>
      </c>
      <c r="B230" s="16" t="s">
        <v>2</v>
      </c>
      <c r="C230">
        <f>P14</f>
        <v>0</v>
      </c>
      <c r="E230" t="str">
        <f>VLOOKUP(C230, RGB_Table[], 6)</f>
        <v>0x000000,</v>
      </c>
    </row>
    <row r="231" spans="1:5">
      <c r="A231" s="1" t="s">
        <v>5</v>
      </c>
      <c r="B231" s="16" t="s">
        <v>2</v>
      </c>
      <c r="C231">
        <f>Q14</f>
        <v>0</v>
      </c>
      <c r="E231" t="str">
        <f>VLOOKUP(C231, RGB_Table[], 6)</f>
        <v>0x000000,</v>
      </c>
    </row>
    <row r="232" spans="1:5">
      <c r="A232" s="1">
        <v>0</v>
      </c>
      <c r="B232" s="16" t="s">
        <v>3</v>
      </c>
      <c r="C232">
        <f>B15</f>
        <v>0</v>
      </c>
      <c r="E232" t="str">
        <f>VLOOKUP(C232, RGB_Table[], 6)</f>
        <v>0x000000,</v>
      </c>
    </row>
    <row r="233" spans="1:5">
      <c r="A233" s="1">
        <v>1</v>
      </c>
      <c r="B233" s="16" t="s">
        <v>3</v>
      </c>
      <c r="C233">
        <f>C15</f>
        <v>1</v>
      </c>
      <c r="E233" t="str">
        <f>VLOOKUP(C233, RGB_Table[], 6)</f>
        <v>0xffffff,</v>
      </c>
    </row>
    <row r="234" spans="1:5">
      <c r="A234" s="1">
        <v>2</v>
      </c>
      <c r="B234" s="16" t="s">
        <v>3</v>
      </c>
      <c r="C234">
        <f>D15</f>
        <v>1</v>
      </c>
      <c r="E234" t="str">
        <f>VLOOKUP(C234, RGB_Table[], 6)</f>
        <v>0xffffff,</v>
      </c>
    </row>
    <row r="235" spans="1:5">
      <c r="A235" s="1">
        <v>3</v>
      </c>
      <c r="B235" s="16" t="s">
        <v>3</v>
      </c>
      <c r="C235">
        <f>E15</f>
        <v>1</v>
      </c>
      <c r="E235" t="str">
        <f>VLOOKUP(C235, RGB_Table[], 6)</f>
        <v>0xffffff,</v>
      </c>
    </row>
    <row r="236" spans="1:5">
      <c r="A236" s="1">
        <v>4</v>
      </c>
      <c r="B236" s="16" t="s">
        <v>3</v>
      </c>
      <c r="C236">
        <f>F15</f>
        <v>1</v>
      </c>
      <c r="E236" t="str">
        <f>VLOOKUP(C236, RGB_Table[], 6)</f>
        <v>0xffffff,</v>
      </c>
    </row>
    <row r="237" spans="1:5">
      <c r="A237" s="1">
        <v>5</v>
      </c>
      <c r="B237" s="16" t="s">
        <v>3</v>
      </c>
      <c r="C237">
        <f>G15</f>
        <v>1</v>
      </c>
      <c r="E237" t="str">
        <f>VLOOKUP(C237, RGB_Table[], 6)</f>
        <v>0xffffff,</v>
      </c>
    </row>
    <row r="238" spans="1:5">
      <c r="A238" s="1">
        <v>6</v>
      </c>
      <c r="B238" s="16" t="s">
        <v>3</v>
      </c>
      <c r="C238">
        <f>H15</f>
        <v>1</v>
      </c>
      <c r="E238" t="str">
        <f>VLOOKUP(C238, RGB_Table[], 6)</f>
        <v>0xffffff,</v>
      </c>
    </row>
    <row r="239" spans="1:5">
      <c r="A239" s="1">
        <v>7</v>
      </c>
      <c r="B239" s="16" t="s">
        <v>3</v>
      </c>
      <c r="C239">
        <f>I15</f>
        <v>0</v>
      </c>
      <c r="E239" t="str">
        <f>VLOOKUP(C239, RGB_Table[], 6)</f>
        <v>0x000000,</v>
      </c>
    </row>
    <row r="240" spans="1:5">
      <c r="A240" s="1">
        <v>8</v>
      </c>
      <c r="B240" s="16" t="s">
        <v>3</v>
      </c>
      <c r="C240">
        <f>J15</f>
        <v>0</v>
      </c>
      <c r="E240" t="str">
        <f>VLOOKUP(C240, RGB_Table[], 6)</f>
        <v>0x000000,</v>
      </c>
    </row>
    <row r="241" spans="1:5">
      <c r="A241" s="1">
        <v>9</v>
      </c>
      <c r="B241" s="16" t="s">
        <v>3</v>
      </c>
      <c r="C241">
        <f>K15</f>
        <v>0</v>
      </c>
      <c r="E241" t="str">
        <f>VLOOKUP(C241, RGB_Table[], 6)</f>
        <v>0x000000,</v>
      </c>
    </row>
    <row r="242" spans="1:5">
      <c r="A242" s="1" t="s">
        <v>0</v>
      </c>
      <c r="B242" s="16" t="s">
        <v>3</v>
      </c>
      <c r="C242">
        <f>L15</f>
        <v>0</v>
      </c>
      <c r="E242" t="str">
        <f>VLOOKUP(C242, RGB_Table[], 6)</f>
        <v>0x000000,</v>
      </c>
    </row>
    <row r="243" spans="1:5">
      <c r="A243" s="1" t="s">
        <v>1</v>
      </c>
      <c r="B243" s="16" t="s">
        <v>3</v>
      </c>
      <c r="C243">
        <f>M15</f>
        <v>0</v>
      </c>
      <c r="E243" t="str">
        <f>VLOOKUP(C243, RGB_Table[], 6)</f>
        <v>0x000000,</v>
      </c>
    </row>
    <row r="244" spans="1:5">
      <c r="A244" s="1" t="s">
        <v>2</v>
      </c>
      <c r="B244" s="16" t="s">
        <v>3</v>
      </c>
      <c r="C244">
        <f>N15</f>
        <v>0</v>
      </c>
      <c r="E244" t="str">
        <f>VLOOKUP(C244, RGB_Table[], 6)</f>
        <v>0x000000,</v>
      </c>
    </row>
    <row r="245" spans="1:5">
      <c r="A245" s="1" t="s">
        <v>3</v>
      </c>
      <c r="B245" s="16" t="s">
        <v>3</v>
      </c>
      <c r="C245">
        <f>O15</f>
        <v>0</v>
      </c>
      <c r="E245" t="str">
        <f>VLOOKUP(C245, RGB_Table[], 6)</f>
        <v>0x000000,</v>
      </c>
    </row>
    <row r="246" spans="1:5">
      <c r="A246" s="1" t="s">
        <v>4</v>
      </c>
      <c r="B246" s="16" t="s">
        <v>3</v>
      </c>
      <c r="C246">
        <f>P15</f>
        <v>0</v>
      </c>
      <c r="E246" t="str">
        <f>VLOOKUP(C246, RGB_Table[], 6)</f>
        <v>0x000000,</v>
      </c>
    </row>
    <row r="247" spans="1:5">
      <c r="A247" s="1" t="s">
        <v>5</v>
      </c>
      <c r="B247" s="16" t="s">
        <v>3</v>
      </c>
      <c r="C247">
        <f>Q15</f>
        <v>0</v>
      </c>
      <c r="E247" t="str">
        <f>VLOOKUP(C247, RGB_Table[], 6)</f>
        <v>0x000000,</v>
      </c>
    </row>
    <row r="248" spans="1:5">
      <c r="A248" s="1">
        <v>0</v>
      </c>
      <c r="B248" s="16" t="s">
        <v>4</v>
      </c>
      <c r="C248">
        <f>B16</f>
        <v>0</v>
      </c>
      <c r="E248" t="str">
        <f>VLOOKUP(C248, RGB_Table[], 6)</f>
        <v>0x000000,</v>
      </c>
    </row>
    <row r="249" spans="1:5">
      <c r="A249" s="1">
        <v>1</v>
      </c>
      <c r="B249" s="16" t="s">
        <v>4</v>
      </c>
      <c r="C249">
        <f>C16</f>
        <v>1</v>
      </c>
      <c r="E249" t="str">
        <f>VLOOKUP(C249, RGB_Table[], 6)</f>
        <v>0xffffff,</v>
      </c>
    </row>
    <row r="250" spans="1:5">
      <c r="A250" s="1">
        <v>2</v>
      </c>
      <c r="B250" s="16" t="s">
        <v>4</v>
      </c>
      <c r="C250">
        <f>D16</f>
        <v>1</v>
      </c>
      <c r="E250" t="str">
        <f>VLOOKUP(C250, RGB_Table[], 6)</f>
        <v>0xffffff,</v>
      </c>
    </row>
    <row r="251" spans="1:5">
      <c r="A251" s="1">
        <v>3</v>
      </c>
      <c r="B251" s="16" t="s">
        <v>4</v>
      </c>
      <c r="C251">
        <f>E16</f>
        <v>1</v>
      </c>
      <c r="E251" t="str">
        <f>VLOOKUP(C251, RGB_Table[], 6)</f>
        <v>0xffffff,</v>
      </c>
    </row>
    <row r="252" spans="1:5">
      <c r="A252" s="1">
        <v>4</v>
      </c>
      <c r="B252" s="16" t="s">
        <v>4</v>
      </c>
      <c r="C252">
        <f>F16</f>
        <v>1</v>
      </c>
      <c r="E252" t="str">
        <f>VLOOKUP(C252, RGB_Table[], 6)</f>
        <v>0xffffff,</v>
      </c>
    </row>
    <row r="253" spans="1:5">
      <c r="A253" s="1">
        <v>5</v>
      </c>
      <c r="B253" s="16" t="s">
        <v>4</v>
      </c>
      <c r="C253">
        <f>G16</f>
        <v>1</v>
      </c>
      <c r="E253" t="str">
        <f>VLOOKUP(C253, RGB_Table[], 6)</f>
        <v>0xffffff,</v>
      </c>
    </row>
    <row r="254" spans="1:5">
      <c r="A254" s="1">
        <v>6</v>
      </c>
      <c r="B254" s="16" t="s">
        <v>4</v>
      </c>
      <c r="C254">
        <f>H16</f>
        <v>0</v>
      </c>
      <c r="E254" t="str">
        <f>VLOOKUP(C254, RGB_Table[], 6)</f>
        <v>0x000000,</v>
      </c>
    </row>
    <row r="255" spans="1:5">
      <c r="A255" s="1">
        <v>7</v>
      </c>
      <c r="B255" s="16" t="s">
        <v>4</v>
      </c>
      <c r="C255">
        <f>I16</f>
        <v>0</v>
      </c>
      <c r="E255" t="str">
        <f>VLOOKUP(C255, RGB_Table[], 6)</f>
        <v>0x000000,</v>
      </c>
    </row>
    <row r="256" spans="1:5">
      <c r="A256" s="1">
        <v>8</v>
      </c>
      <c r="B256" s="16" t="s">
        <v>4</v>
      </c>
      <c r="C256">
        <f>J16</f>
        <v>0</v>
      </c>
      <c r="E256" t="str">
        <f>VLOOKUP(C256, RGB_Table[], 6)</f>
        <v>0x000000,</v>
      </c>
    </row>
    <row r="257" spans="1:5">
      <c r="A257" s="1">
        <v>9</v>
      </c>
      <c r="B257" s="16" t="s">
        <v>4</v>
      </c>
      <c r="C257">
        <f>K16</f>
        <v>0</v>
      </c>
      <c r="E257" t="str">
        <f>VLOOKUP(C257, RGB_Table[], 6)</f>
        <v>0x000000,</v>
      </c>
    </row>
    <row r="258" spans="1:5">
      <c r="A258" s="1" t="s">
        <v>0</v>
      </c>
      <c r="B258" s="16" t="s">
        <v>4</v>
      </c>
      <c r="C258">
        <f>L16</f>
        <v>0</v>
      </c>
      <c r="E258" t="str">
        <f>VLOOKUP(C258, RGB_Table[], 6)</f>
        <v>0x000000,</v>
      </c>
    </row>
    <row r="259" spans="1:5">
      <c r="A259" s="1" t="s">
        <v>1</v>
      </c>
      <c r="B259" s="16" t="s">
        <v>4</v>
      </c>
      <c r="C259">
        <f>M16</f>
        <v>0</v>
      </c>
      <c r="E259" t="str">
        <f>VLOOKUP(C259, RGB_Table[], 6)</f>
        <v>0x000000,</v>
      </c>
    </row>
    <row r="260" spans="1:5">
      <c r="A260" s="1" t="s">
        <v>2</v>
      </c>
      <c r="B260" s="16" t="s">
        <v>4</v>
      </c>
      <c r="C260">
        <f>N16</f>
        <v>0</v>
      </c>
      <c r="E260" t="str">
        <f>VLOOKUP(C260, RGB_Table[], 6)</f>
        <v>0x000000,</v>
      </c>
    </row>
    <row r="261" spans="1:5">
      <c r="A261" s="1" t="s">
        <v>3</v>
      </c>
      <c r="B261" s="16" t="s">
        <v>4</v>
      </c>
      <c r="C261">
        <f>O16</f>
        <v>0</v>
      </c>
      <c r="E261" t="str">
        <f>VLOOKUP(C261, RGB_Table[], 6)</f>
        <v>0x000000,</v>
      </c>
    </row>
    <row r="262" spans="1:5">
      <c r="A262" s="1" t="s">
        <v>4</v>
      </c>
      <c r="B262" s="16" t="s">
        <v>4</v>
      </c>
      <c r="C262">
        <f>P16</f>
        <v>0</v>
      </c>
      <c r="E262" t="str">
        <f>VLOOKUP(C262, RGB_Table[], 6)</f>
        <v>0x000000,</v>
      </c>
    </row>
    <row r="263" spans="1:5">
      <c r="A263" s="1" t="s">
        <v>5</v>
      </c>
      <c r="B263" s="16" t="s">
        <v>4</v>
      </c>
      <c r="C263">
        <f>Q16</f>
        <v>0</v>
      </c>
      <c r="E263" t="str">
        <f>VLOOKUP(C263, RGB_Table[], 6)</f>
        <v>0x000000,</v>
      </c>
    </row>
    <row r="264" spans="1:5">
      <c r="A264" s="1">
        <v>0</v>
      </c>
      <c r="B264" s="16" t="s">
        <v>5</v>
      </c>
      <c r="C264">
        <f>B17</f>
        <v>0</v>
      </c>
      <c r="E264" t="str">
        <f>VLOOKUP(C264, RGB_Table[], 6)</f>
        <v>0x000000,</v>
      </c>
    </row>
    <row r="265" spans="1:5">
      <c r="A265" s="1">
        <v>1</v>
      </c>
      <c r="B265" s="16" t="s">
        <v>5</v>
      </c>
      <c r="C265">
        <f>C17</f>
        <v>0</v>
      </c>
      <c r="E265" t="str">
        <f>VLOOKUP(C265, RGB_Table[], 6)</f>
        <v>0x000000,</v>
      </c>
    </row>
    <row r="266" spans="1:5">
      <c r="A266" s="1">
        <v>2</v>
      </c>
      <c r="B266" s="16" t="s">
        <v>5</v>
      </c>
      <c r="C266">
        <f>D17</f>
        <v>1</v>
      </c>
      <c r="E266" t="str">
        <f>VLOOKUP(C266, RGB_Table[], 6)</f>
        <v>0xffffff,</v>
      </c>
    </row>
    <row r="267" spans="1:5">
      <c r="A267" s="1">
        <v>3</v>
      </c>
      <c r="B267" s="16" t="s">
        <v>5</v>
      </c>
      <c r="C267">
        <f>E17</f>
        <v>1</v>
      </c>
      <c r="E267" t="str">
        <f>VLOOKUP(C267, RGB_Table[], 6)</f>
        <v>0xffffff,</v>
      </c>
    </row>
    <row r="268" spans="1:5">
      <c r="A268" s="1">
        <v>4</v>
      </c>
      <c r="B268" s="16" t="s">
        <v>5</v>
      </c>
      <c r="C268">
        <f>F17</f>
        <v>1</v>
      </c>
      <c r="E268" t="str">
        <f>VLOOKUP(C268, RGB_Table[], 6)</f>
        <v>0xffffff,</v>
      </c>
    </row>
    <row r="269" spans="1:5">
      <c r="A269" s="1">
        <v>5</v>
      </c>
      <c r="B269" s="16" t="s">
        <v>5</v>
      </c>
      <c r="C269">
        <f>G17</f>
        <v>0</v>
      </c>
      <c r="E269" t="str">
        <f>VLOOKUP(C269, RGB_Table[], 6)</f>
        <v>0x000000,</v>
      </c>
    </row>
    <row r="270" spans="1:5">
      <c r="A270" s="1">
        <v>6</v>
      </c>
      <c r="B270" s="16" t="s">
        <v>5</v>
      </c>
      <c r="C270">
        <f>H17</f>
        <v>0</v>
      </c>
      <c r="E270" t="str">
        <f>VLOOKUP(C270, RGB_Table[], 6)</f>
        <v>0x000000,</v>
      </c>
    </row>
    <row r="271" spans="1:5">
      <c r="A271" s="1">
        <v>7</v>
      </c>
      <c r="B271" s="16" t="s">
        <v>5</v>
      </c>
      <c r="C271">
        <f>I17</f>
        <v>0</v>
      </c>
      <c r="E271" t="str">
        <f>VLOOKUP(C271, RGB_Table[], 6)</f>
        <v>0x000000,</v>
      </c>
    </row>
    <row r="272" spans="1:5">
      <c r="A272" s="1">
        <v>8</v>
      </c>
      <c r="B272" s="16" t="s">
        <v>5</v>
      </c>
      <c r="C272">
        <f>J17</f>
        <v>0</v>
      </c>
      <c r="E272" t="str">
        <f>VLOOKUP(C272, RGB_Table[], 6)</f>
        <v>0x000000,</v>
      </c>
    </row>
    <row r="273" spans="1:5">
      <c r="A273" s="1">
        <v>9</v>
      </c>
      <c r="B273" s="16" t="s">
        <v>5</v>
      </c>
      <c r="C273">
        <f>K17</f>
        <v>0</v>
      </c>
      <c r="E273" t="str">
        <f>VLOOKUP(C273, RGB_Table[], 6)</f>
        <v>0x000000,</v>
      </c>
    </row>
    <row r="274" spans="1:5">
      <c r="A274" s="1" t="s">
        <v>0</v>
      </c>
      <c r="B274" s="16" t="s">
        <v>5</v>
      </c>
      <c r="C274">
        <f>L17</f>
        <v>0</v>
      </c>
      <c r="E274" t="str">
        <f>VLOOKUP(C274, RGB_Table[], 6)</f>
        <v>0x000000,</v>
      </c>
    </row>
    <row r="275" spans="1:5">
      <c r="A275" s="1" t="s">
        <v>1</v>
      </c>
      <c r="B275" s="16" t="s">
        <v>5</v>
      </c>
      <c r="C275">
        <f>M17</f>
        <v>0</v>
      </c>
      <c r="E275" t="str">
        <f>VLOOKUP(C275, RGB_Table[], 6)</f>
        <v>0x000000,</v>
      </c>
    </row>
    <row r="276" spans="1:5">
      <c r="A276" s="1" t="s">
        <v>2</v>
      </c>
      <c r="B276" s="16" t="s">
        <v>5</v>
      </c>
      <c r="C276">
        <f>N17</f>
        <v>0</v>
      </c>
      <c r="E276" t="str">
        <f>VLOOKUP(C276, RGB_Table[], 6)</f>
        <v>0x000000,</v>
      </c>
    </row>
    <row r="277" spans="1:5">
      <c r="A277" s="1" t="s">
        <v>3</v>
      </c>
      <c r="B277" s="16" t="s">
        <v>5</v>
      </c>
      <c r="C277">
        <f>O17</f>
        <v>0</v>
      </c>
      <c r="E277" t="str">
        <f>VLOOKUP(C277, RGB_Table[], 6)</f>
        <v>0x000000,</v>
      </c>
    </row>
    <row r="278" spans="1:5">
      <c r="A278" s="1" t="s">
        <v>4</v>
      </c>
      <c r="B278" s="16" t="s">
        <v>5</v>
      </c>
      <c r="C278">
        <f>P17</f>
        <v>0</v>
      </c>
      <c r="E278" t="str">
        <f>VLOOKUP(C278, RGB_Table[], 6)</f>
        <v>0x000000,</v>
      </c>
    </row>
    <row r="279" spans="1:5">
      <c r="A279" s="1" t="s">
        <v>5</v>
      </c>
      <c r="B279" s="16" t="s">
        <v>5</v>
      </c>
      <c r="C279">
        <f>Q17</f>
        <v>0</v>
      </c>
      <c r="E279" t="str">
        <f>VLOOKUP(C279, RGB_Table[], 6)</f>
        <v>0x000000,</v>
      </c>
    </row>
  </sheetData>
  <protectedRanges>
    <protectedRange algorithmName="SHA-512" hashValue="GqVwaMWQew5SqQqxel246ieCgYavpvoySWviNmHDeW4Lnfeuk/W80ajlJO71J52v2VT4N1/dLsQ4HkkYKMfSoA==" saltValue="3io8WjdiSA/vTYS6sX6uXg==" spinCount="100000" sqref="A1:K1 B13:C17 D12:K17 A2:A17 R1:R17 A18:R18" name="Workpad Border"/>
  </protectedRange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70EB-83E1-46A7-9FE4-1A11D51C3409}">
  <dimension ref="A1:AH20"/>
  <sheetViews>
    <sheetView workbookViewId="0">
      <selection activeCell="AC12" sqref="AC12"/>
    </sheetView>
  </sheetViews>
  <sheetFormatPr defaultRowHeight="15"/>
  <cols>
    <col min="1" max="17" width="3.140625" customWidth="1"/>
    <col min="18" max="18" width="3.140625" style="1" customWidth="1"/>
    <col min="19" max="19" width="2.85546875" customWidth="1"/>
    <col min="20" max="20" width="3.140625" customWidth="1"/>
    <col min="21" max="21" width="6.140625" bestFit="1" customWidth="1"/>
    <col min="22" max="22" width="7.5703125" bestFit="1" customWidth="1"/>
    <col min="23" max="23" width="1.28515625" customWidth="1"/>
    <col min="24" max="24" width="6.85546875" bestFit="1" customWidth="1"/>
    <col min="25" max="25" width="8.140625" customWidth="1"/>
    <col min="26" max="26" width="7.28515625" customWidth="1"/>
  </cols>
  <sheetData>
    <row r="1" spans="1:34" ht="15.75" thickBot="1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6"/>
      <c r="T1" s="33" t="s">
        <v>25</v>
      </c>
      <c r="U1" s="30"/>
      <c r="V1" s="30"/>
      <c r="X1" s="32" t="s">
        <v>26</v>
      </c>
      <c r="Y1" s="32"/>
      <c r="Z1" s="32"/>
      <c r="AA1" s="31"/>
      <c r="AB1" s="31"/>
      <c r="AC1" s="31"/>
      <c r="AD1" s="31"/>
      <c r="AE1" s="31"/>
      <c r="AF1" s="31"/>
      <c r="AG1" s="31"/>
      <c r="AH1" s="31"/>
    </row>
    <row r="2" spans="1:34">
      <c r="A2" s="29">
        <v>0</v>
      </c>
      <c r="B2" s="8"/>
      <c r="C2" s="9"/>
      <c r="D2" s="9"/>
      <c r="E2" s="9"/>
      <c r="F2" s="9"/>
      <c r="G2" s="9"/>
      <c r="H2" s="9"/>
      <c r="I2" s="10"/>
      <c r="J2" s="26"/>
      <c r="K2" s="10"/>
      <c r="L2" s="26"/>
      <c r="M2" s="9"/>
      <c r="N2" s="9"/>
      <c r="O2" s="9"/>
      <c r="P2" s="9"/>
      <c r="Q2" s="10"/>
      <c r="R2" s="6" t="s">
        <v>12</v>
      </c>
      <c r="T2" s="1">
        <f>A2</f>
        <v>0</v>
      </c>
      <c r="U2">
        <f>(B2+(C2*2)+(D2*4)+(E2*8)+(F2*16)+(G2*32)+(H2*64)+(I2*128)+(J2*256)+(K2*512)+(L2*1024)+(M2*2048)+(N2*4096)+(O2*8192)+(P2*16384)+(Q2*32768))</f>
        <v>0</v>
      </c>
      <c r="V2" s="20" t="str">
        <f>"0x"&amp;DEC2HEX(U2)&amp;","</f>
        <v>0x0,</v>
      </c>
      <c r="X2" t="s">
        <v>27</v>
      </c>
      <c r="Y2" t="s">
        <v>28</v>
      </c>
      <c r="Z2" t="str">
        <f>_xlfn.CONCAT(V2:V17)</f>
        <v>0x0,0x0,0x0,0x0,0x0,0x0,0x0,0x0,0x0,0x0,0x0,0x0,0x0,0x0,0x0,0x0,</v>
      </c>
      <c r="AA2" t="str">
        <f>"{"&amp;LEFT(Z2,LEN(Z2)-1)&amp;"},"</f>
        <v>{0x0,0x0,0x0,0x0,0x0,0x0,0x0,0x0,0x0,0x0,0x0,0x0,0x0,0x0,0x0,0x0},</v>
      </c>
    </row>
    <row r="3" spans="1:34">
      <c r="A3" s="29">
        <v>1</v>
      </c>
      <c r="B3" s="11"/>
      <c r="C3" s="4"/>
      <c r="D3" s="4"/>
      <c r="E3" s="4"/>
      <c r="F3" s="4"/>
      <c r="G3" s="4"/>
      <c r="H3" s="4"/>
      <c r="I3" s="12"/>
      <c r="J3" s="21"/>
      <c r="K3" s="12"/>
      <c r="L3" s="21"/>
      <c r="M3" s="4"/>
      <c r="N3" s="4"/>
      <c r="O3" s="4"/>
      <c r="P3" s="4"/>
      <c r="Q3" s="12"/>
      <c r="R3" s="7" t="s">
        <v>14</v>
      </c>
      <c r="T3" s="1">
        <f t="shared" ref="T3:T17" si="0">A3</f>
        <v>1</v>
      </c>
      <c r="U3">
        <f t="shared" ref="U3:U17" si="1">(B3+(C3*2)+(D3*4)+(E3*8)+(F3*16)+(G3*32)+(H3*64)+(I3*128)+(J3*256)+(K3*512)+(L3*1024)+(M3*2048)+(N3*4096)+(O3*8192)+(P3*16384)+(Q3*32768))</f>
        <v>0</v>
      </c>
      <c r="V3" s="20" t="str">
        <f t="shared" ref="V3:V17" si="2">"0x"&amp;DEC2HEX(U3)&amp;","</f>
        <v>0x0,</v>
      </c>
      <c r="X3" t="s">
        <v>29</v>
      </c>
      <c r="Y3" t="s">
        <v>28</v>
      </c>
      <c r="Z3" t="str">
        <f>_xlfn.CONCAT(V2:V11)</f>
        <v>0x0,0x0,0x0,0x0,0x0,0x0,0x0,0x0,0x0,0x0,</v>
      </c>
      <c r="AA3" t="str">
        <f t="shared" ref="AA3:AA4" si="3">"{"&amp;LEFT(Z3,LEN(Z3)-1)&amp;"},"</f>
        <v>{0x0,0x0,0x0,0x0,0x0,0x0,0x0,0x0,0x0,0x0},</v>
      </c>
    </row>
    <row r="4" spans="1:34">
      <c r="A4" s="29">
        <v>2</v>
      </c>
      <c r="B4" s="11"/>
      <c r="C4" s="4"/>
      <c r="D4" s="4"/>
      <c r="E4" s="4"/>
      <c r="F4" s="4"/>
      <c r="G4" s="4"/>
      <c r="H4" s="4"/>
      <c r="I4" s="12"/>
      <c r="J4" s="21"/>
      <c r="K4" s="12"/>
      <c r="L4" s="21"/>
      <c r="M4" s="4"/>
      <c r="N4" s="4"/>
      <c r="O4" s="4"/>
      <c r="P4" s="4"/>
      <c r="Q4" s="12"/>
      <c r="R4" s="6"/>
      <c r="T4" s="1">
        <f t="shared" si="0"/>
        <v>2</v>
      </c>
      <c r="U4">
        <f t="shared" si="1"/>
        <v>0</v>
      </c>
      <c r="V4" s="20" t="str">
        <f t="shared" si="2"/>
        <v>0x0,</v>
      </c>
      <c r="X4" t="s">
        <v>30</v>
      </c>
      <c r="Y4" t="s">
        <v>31</v>
      </c>
      <c r="Z4" t="str">
        <f>_xlfn.CONCAT(V2:V9)</f>
        <v>0x0,0x0,0x0,0x0,0x0,0x0,0x0,0x0,</v>
      </c>
      <c r="AA4" t="str">
        <f t="shared" si="3"/>
        <v>{0x0,0x0,0x0,0x0,0x0,0x0,0x0,0x0},</v>
      </c>
    </row>
    <row r="5" spans="1:34">
      <c r="A5" s="29">
        <v>3</v>
      </c>
      <c r="B5" s="11"/>
      <c r="C5" s="4"/>
      <c r="D5" s="4"/>
      <c r="E5" s="4"/>
      <c r="F5" s="4"/>
      <c r="G5" s="4"/>
      <c r="H5" s="4"/>
      <c r="I5" s="12"/>
      <c r="J5" s="21"/>
      <c r="K5" s="12"/>
      <c r="L5" s="21"/>
      <c r="M5" s="4"/>
      <c r="N5" s="4"/>
      <c r="O5" s="4"/>
      <c r="P5" s="4"/>
      <c r="Q5" s="12"/>
      <c r="R5" s="6"/>
      <c r="T5" s="1">
        <f t="shared" si="0"/>
        <v>3</v>
      </c>
      <c r="U5">
        <f t="shared" si="1"/>
        <v>0</v>
      </c>
      <c r="V5" s="20" t="str">
        <f t="shared" si="2"/>
        <v>0x0,</v>
      </c>
    </row>
    <row r="6" spans="1:34">
      <c r="A6" s="29">
        <v>4</v>
      </c>
      <c r="B6" s="11"/>
      <c r="C6" s="4"/>
      <c r="D6" s="4"/>
      <c r="E6" s="4"/>
      <c r="F6" s="4"/>
      <c r="G6" s="4"/>
      <c r="H6" s="4"/>
      <c r="I6" s="12"/>
      <c r="J6" s="21"/>
      <c r="K6" s="12"/>
      <c r="L6" s="21"/>
      <c r="M6" s="4"/>
      <c r="N6" s="4"/>
      <c r="O6" s="4"/>
      <c r="P6" s="4"/>
      <c r="Q6" s="12"/>
      <c r="R6" s="6"/>
      <c r="T6" s="1">
        <f t="shared" si="0"/>
        <v>4</v>
      </c>
      <c r="U6">
        <f t="shared" si="1"/>
        <v>0</v>
      </c>
      <c r="V6" s="20" t="str">
        <f t="shared" si="2"/>
        <v>0x0,</v>
      </c>
    </row>
    <row r="7" spans="1:34">
      <c r="A7" s="29">
        <v>5</v>
      </c>
      <c r="B7" s="11"/>
      <c r="C7" s="4"/>
      <c r="D7" s="4"/>
      <c r="E7" s="4"/>
      <c r="F7" s="4"/>
      <c r="G7" s="4"/>
      <c r="H7" s="4"/>
      <c r="I7" s="12"/>
      <c r="J7" s="21"/>
      <c r="K7" s="12"/>
      <c r="L7" s="21"/>
      <c r="M7" s="4"/>
      <c r="N7" s="4"/>
      <c r="O7" s="4"/>
      <c r="P7" s="4"/>
      <c r="Q7" s="12"/>
      <c r="R7" s="6"/>
      <c r="T7" s="1">
        <f t="shared" si="0"/>
        <v>5</v>
      </c>
      <c r="U7">
        <f t="shared" si="1"/>
        <v>0</v>
      </c>
      <c r="V7" s="20" t="str">
        <f t="shared" si="2"/>
        <v>0x0,</v>
      </c>
    </row>
    <row r="8" spans="1:34">
      <c r="A8" s="29">
        <v>6</v>
      </c>
      <c r="B8" s="11"/>
      <c r="C8" s="4"/>
      <c r="D8" s="4"/>
      <c r="E8" s="4"/>
      <c r="F8" s="4"/>
      <c r="G8" s="4"/>
      <c r="H8" s="4"/>
      <c r="I8" s="12"/>
      <c r="J8" s="21"/>
      <c r="K8" s="12"/>
      <c r="L8" s="21"/>
      <c r="M8" s="4"/>
      <c r="N8" s="4"/>
      <c r="O8" s="4"/>
      <c r="P8" s="4"/>
      <c r="Q8" s="12"/>
      <c r="R8" s="6"/>
      <c r="T8" s="1">
        <f t="shared" si="0"/>
        <v>6</v>
      </c>
      <c r="U8">
        <f t="shared" si="1"/>
        <v>0</v>
      </c>
      <c r="V8" s="20" t="str">
        <f t="shared" si="2"/>
        <v>0x0,</v>
      </c>
    </row>
    <row r="9" spans="1:34" ht="15.75" thickBot="1">
      <c r="A9" s="29">
        <v>7</v>
      </c>
      <c r="B9" s="13"/>
      <c r="C9" s="14"/>
      <c r="D9" s="14"/>
      <c r="E9" s="14"/>
      <c r="F9" s="14"/>
      <c r="G9" s="14"/>
      <c r="H9" s="14"/>
      <c r="I9" s="15"/>
      <c r="J9" s="21"/>
      <c r="K9" s="12"/>
      <c r="L9" s="21"/>
      <c r="M9" s="4"/>
      <c r="N9" s="4"/>
      <c r="O9" s="4"/>
      <c r="P9" s="4"/>
      <c r="Q9" s="12"/>
      <c r="R9" s="6"/>
      <c r="T9" s="1">
        <f t="shared" si="0"/>
        <v>7</v>
      </c>
      <c r="U9">
        <f t="shared" si="1"/>
        <v>0</v>
      </c>
      <c r="V9" s="20" t="str">
        <f t="shared" si="2"/>
        <v>0x0,</v>
      </c>
    </row>
    <row r="10" spans="1:34">
      <c r="A10" s="29">
        <v>8</v>
      </c>
      <c r="B10" s="27"/>
      <c r="C10" s="22"/>
      <c r="D10" s="22"/>
      <c r="E10" s="22"/>
      <c r="F10" s="22"/>
      <c r="G10" s="22"/>
      <c r="H10" s="22"/>
      <c r="I10" s="22"/>
      <c r="J10" s="4"/>
      <c r="K10" s="12"/>
      <c r="L10" s="21"/>
      <c r="M10" s="4"/>
      <c r="N10" s="4"/>
      <c r="O10" s="4"/>
      <c r="P10" s="4"/>
      <c r="Q10" s="12"/>
      <c r="R10" s="6"/>
      <c r="T10" s="1">
        <f t="shared" si="0"/>
        <v>8</v>
      </c>
      <c r="U10">
        <f t="shared" si="1"/>
        <v>0</v>
      </c>
      <c r="V10" s="20" t="str">
        <f t="shared" si="2"/>
        <v>0x0,</v>
      </c>
    </row>
    <row r="11" spans="1:34" ht="15.75" thickBot="1">
      <c r="A11" s="29">
        <v>9</v>
      </c>
      <c r="B11" s="13"/>
      <c r="C11" s="14"/>
      <c r="D11" s="14"/>
      <c r="E11" s="14"/>
      <c r="F11" s="14"/>
      <c r="G11" s="14"/>
      <c r="H11" s="14"/>
      <c r="I11" s="14"/>
      <c r="J11" s="14"/>
      <c r="K11" s="15"/>
      <c r="L11" s="21"/>
      <c r="M11" s="4"/>
      <c r="N11" s="4"/>
      <c r="O11" s="4"/>
      <c r="P11" s="4"/>
      <c r="Q11" s="12"/>
      <c r="R11" s="6"/>
      <c r="T11" s="1">
        <f t="shared" si="0"/>
        <v>9</v>
      </c>
      <c r="U11">
        <f t="shared" si="1"/>
        <v>0</v>
      </c>
      <c r="V11" s="20" t="str">
        <f t="shared" si="2"/>
        <v>0x0,</v>
      </c>
    </row>
    <row r="12" spans="1:34">
      <c r="A12" s="29" t="s">
        <v>0</v>
      </c>
      <c r="B12" s="27"/>
      <c r="C12" s="22"/>
      <c r="D12" s="22"/>
      <c r="E12" s="22"/>
      <c r="F12" s="22"/>
      <c r="G12" s="22"/>
      <c r="H12" s="22"/>
      <c r="I12" s="22"/>
      <c r="J12" s="22"/>
      <c r="K12" s="22"/>
      <c r="L12" s="4"/>
      <c r="M12" s="4"/>
      <c r="N12" s="4"/>
      <c r="O12" s="4"/>
      <c r="P12" s="4"/>
      <c r="Q12" s="12"/>
      <c r="R12" s="6"/>
      <c r="T12" s="1" t="str">
        <f t="shared" si="0"/>
        <v>A</v>
      </c>
      <c r="U12">
        <f t="shared" si="1"/>
        <v>0</v>
      </c>
      <c r="V12" s="20" t="str">
        <f t="shared" si="2"/>
        <v>0x0,</v>
      </c>
    </row>
    <row r="13" spans="1:34">
      <c r="A13" s="29" t="s">
        <v>1</v>
      </c>
      <c r="B13" s="11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2"/>
      <c r="R13" s="6"/>
      <c r="T13" s="1" t="str">
        <f t="shared" si="0"/>
        <v>B</v>
      </c>
      <c r="U13">
        <f t="shared" si="1"/>
        <v>0</v>
      </c>
      <c r="V13" s="20" t="str">
        <f t="shared" si="2"/>
        <v>0x0,</v>
      </c>
    </row>
    <row r="14" spans="1:34">
      <c r="A14" s="29" t="s">
        <v>2</v>
      </c>
      <c r="B14" s="1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2"/>
      <c r="R14" s="6"/>
      <c r="T14" s="1" t="str">
        <f t="shared" si="0"/>
        <v>C</v>
      </c>
      <c r="U14">
        <f t="shared" si="1"/>
        <v>0</v>
      </c>
      <c r="V14" s="20" t="str">
        <f t="shared" si="2"/>
        <v>0x0,</v>
      </c>
    </row>
    <row r="15" spans="1:34">
      <c r="A15" s="29" t="s">
        <v>3</v>
      </c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12"/>
      <c r="R15" s="6"/>
      <c r="T15" s="1" t="str">
        <f t="shared" si="0"/>
        <v>D</v>
      </c>
      <c r="U15">
        <f t="shared" si="1"/>
        <v>0</v>
      </c>
      <c r="V15" s="20" t="str">
        <f t="shared" si="2"/>
        <v>0x0,</v>
      </c>
    </row>
    <row r="16" spans="1:34">
      <c r="A16" s="29" t="s">
        <v>4</v>
      </c>
      <c r="B16" s="1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2"/>
      <c r="R16" s="6"/>
      <c r="T16" s="1" t="str">
        <f t="shared" si="0"/>
        <v>E</v>
      </c>
      <c r="U16">
        <f t="shared" si="1"/>
        <v>0</v>
      </c>
      <c r="V16" s="20" t="str">
        <f t="shared" si="2"/>
        <v>0x0,</v>
      </c>
    </row>
    <row r="17" spans="1:23" ht="15.75" thickBot="1">
      <c r="A17" s="29" t="s">
        <v>5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6"/>
      <c r="T17" s="1" t="str">
        <f t="shared" si="0"/>
        <v>F</v>
      </c>
      <c r="U17">
        <f t="shared" si="1"/>
        <v>0</v>
      </c>
      <c r="V17" s="20" t="str">
        <f t="shared" si="2"/>
        <v>0x0,</v>
      </c>
    </row>
    <row r="18" spans="1:23">
      <c r="A18" s="3"/>
      <c r="B18" s="3" t="s">
        <v>17</v>
      </c>
      <c r="C18" s="3" t="s">
        <v>18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6"/>
    </row>
    <row r="20" spans="1:23">
      <c r="A20" s="34"/>
      <c r="B20" s="35" t="s">
        <v>32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6"/>
      <c r="S20" s="35"/>
      <c r="T20" s="35"/>
      <c r="U20" s="35"/>
      <c r="V20" s="35"/>
      <c r="W20" s="35"/>
    </row>
  </sheetData>
  <protectedRanges>
    <protectedRange algorithmName="SHA-512" hashValue="GqVwaMWQew5SqQqxel246ieCgYavpvoySWviNmHDeW4Lnfeuk/W80ajlJO71J52v2VT4N1/dLsQ4HkkYKMfSoA==" saltValue="3io8WjdiSA/vTYS6sX6uXg==" spinCount="100000" sqref="A1:R1 A18:R18 A2:A17 R2:R17" name="Workpad Border"/>
  </protectedRanges>
  <conditionalFormatting sqref="B2:Q17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Colli</dc:creator>
  <cp:keywords/>
  <dc:description/>
  <cp:lastModifiedBy/>
  <cp:revision/>
  <dcterms:created xsi:type="dcterms:W3CDTF">2019-10-20T05:34:44Z</dcterms:created>
  <dcterms:modified xsi:type="dcterms:W3CDTF">2023-07-18T01:40:52Z</dcterms:modified>
  <cp:category/>
  <cp:contentStatus/>
</cp:coreProperties>
</file>